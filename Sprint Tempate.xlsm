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Project\DocTemplate\"/>
    </mc:Choice>
  </mc:AlternateContent>
  <bookViews>
    <workbookView xWindow="750" yWindow="1200" windowWidth="14640" windowHeight="6225" tabRatio="620" activeTab="1"/>
  </bookViews>
  <sheets>
    <sheet name="Sprint" sheetId="7" r:id="rId1"/>
    <sheet name="Capacity" sheetId="6" r:id="rId2"/>
    <sheet name="Project Specific Reports" sheetId="9" r:id="rId3"/>
    <sheet name="Team Roster" sheetId="5" r:id="rId4"/>
  </sheets>
  <definedNames>
    <definedName name="_xlnm._FilterDatabase" localSheetId="0" hidden="1">Sprint!$A$1:$M$69</definedName>
    <definedName name="Deliverable">'Project Specific Reports'!$A$9:$A$24</definedName>
    <definedName name="Members" localSheetId="0">OFFSET('Team Roster'!$C$8,0,0,COUNTA('Team Roster'!$C:$C)-1,1)</definedName>
    <definedName name="Members">OFFSET('Team Roster'!$C$8,0,0,COUNTA('Team Roster'!$C:$C)-1,1)</definedName>
    <definedName name="_xlnm.Print_Area" localSheetId="1">Capacity!$A$4:$AP$33</definedName>
    <definedName name="SprintDue">Capacity!$E$3</definedName>
    <definedName name="SprintStart">Capacity!$E$2</definedName>
    <definedName name="Start_Date">Capacity!$E$3</definedName>
    <definedName name="Status">'Project Specific Reports'!$A$28:$A$32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AK12" i="6" l="1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H10" i="6" l="1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9" i="6"/>
  <c r="AF9" i="6"/>
  <c r="AG9" i="6"/>
  <c r="AH9" i="6"/>
  <c r="AE8" i="6"/>
  <c r="AF8" i="6"/>
  <c r="AG8" i="6"/>
  <c r="AH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8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9" i="6"/>
  <c r="Y9" i="6"/>
  <c r="Z9" i="6"/>
  <c r="AA9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X8" i="6"/>
  <c r="Y8" i="6"/>
  <c r="Z8" i="6"/>
  <c r="AA8" i="6"/>
  <c r="W8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Q10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9" i="6"/>
  <c r="R9" i="6"/>
  <c r="S9" i="6"/>
  <c r="T9" i="6"/>
  <c r="Q8" i="6"/>
  <c r="R8" i="6"/>
  <c r="S8" i="6"/>
  <c r="T8" i="6"/>
  <c r="P9" i="6"/>
  <c r="P10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8" i="6"/>
  <c r="I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8" i="6"/>
  <c r="K8" i="6"/>
  <c r="L8" i="6"/>
  <c r="M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F6" i="6"/>
  <c r="I6" i="6"/>
  <c r="G9" i="6"/>
  <c r="AK9" i="6" s="1"/>
  <c r="G10" i="6"/>
  <c r="AK10" i="6" s="1"/>
  <c r="G11" i="6"/>
  <c r="AK11" i="6" s="1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8" i="6"/>
  <c r="AK8" i="6" s="1"/>
  <c r="H70" i="7" l="1"/>
  <c r="B29" i="9"/>
  <c r="B30" i="9"/>
  <c r="B31" i="9"/>
  <c r="B32" i="9"/>
  <c r="B28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9" i="9"/>
  <c r="B3" i="9"/>
  <c r="B4" i="9"/>
  <c r="B5" i="9"/>
  <c r="B2" i="9"/>
  <c r="B6" i="9" l="1"/>
  <c r="D2" i="6"/>
  <c r="D3" i="6"/>
  <c r="P6" i="6" l="1"/>
  <c r="C4" i="9"/>
  <c r="C5" i="9"/>
  <c r="C3" i="9"/>
  <c r="C2" i="9"/>
  <c r="J6" i="6"/>
  <c r="C8" i="6"/>
  <c r="Q6" i="6" l="1"/>
  <c r="W6" i="6"/>
  <c r="K6" i="6"/>
  <c r="X6" i="6" l="1"/>
  <c r="AD6" i="6"/>
  <c r="R6" i="6"/>
  <c r="L6" i="6"/>
  <c r="AE6" i="6" l="1"/>
  <c r="S6" i="6"/>
  <c r="Y6" i="6"/>
  <c r="M6" i="6"/>
  <c r="AF6" i="6" l="1"/>
  <c r="T6" i="6"/>
  <c r="Z6" i="6"/>
  <c r="N6" i="6"/>
  <c r="O6" i="6" s="1"/>
  <c r="U6" i="6" l="1"/>
  <c r="V6" i="6" s="1"/>
  <c r="AA6" i="6"/>
  <c r="AG6" i="6"/>
  <c r="AH6" i="6" l="1"/>
  <c r="AB6" i="6"/>
  <c r="AC6" i="6" s="1"/>
  <c r="AI6" i="6" l="1"/>
  <c r="AJ6" i="6" s="1"/>
  <c r="B33" i="9"/>
  <c r="C9" i="6" l="1"/>
  <c r="C10" i="6" s="1"/>
  <c r="C32" i="9"/>
  <c r="C30" i="9"/>
  <c r="C29" i="9"/>
  <c r="C31" i="9"/>
  <c r="C28" i="9"/>
  <c r="C33" i="9" l="1"/>
  <c r="C6" i="9"/>
  <c r="B25" i="9"/>
  <c r="C24" i="9" l="1"/>
  <c r="C20" i="9"/>
  <c r="C16" i="9"/>
  <c r="C12" i="9"/>
  <c r="C17" i="9"/>
  <c r="C13" i="9"/>
  <c r="C23" i="9"/>
  <c r="C19" i="9"/>
  <c r="C15" i="9"/>
  <c r="C11" i="9"/>
  <c r="C9" i="9"/>
  <c r="C22" i="9"/>
  <c r="C18" i="9"/>
  <c r="C14" i="9"/>
  <c r="C10" i="9"/>
  <c r="C21" i="9"/>
  <c r="C25" i="9" l="1"/>
</calcChain>
</file>

<file path=xl/sharedStrings.xml><?xml version="1.0" encoding="utf-8"?>
<sst xmlns="http://schemas.openxmlformats.org/spreadsheetml/2006/main" count="118" uniqueCount="82">
  <si>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</si>
  <si>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</si>
  <si>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</si>
  <si>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</si>
  <si>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</si>
  <si>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</si>
  <si>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</si>
  <si>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</si>
  <si>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</si>
  <si>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</si>
  <si>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</si>
  <si>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</si>
  <si>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</si>
  <si>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</si>
  <si>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</si>
  <si>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</si>
  <si>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</si>
  <si>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</si>
  <si>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OOF (Sick, Biz Travel etc.)</t>
  </si>
  <si>
    <t>Productive Hours =</t>
  </si>
  <si>
    <t>Sprint Days =</t>
  </si>
  <si>
    <t>Sprint Vision:</t>
  </si>
  <si>
    <t>Alias</t>
  </si>
  <si>
    <t>Mobile Phone</t>
  </si>
  <si>
    <t>Name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</si>
  <si>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</si>
  <si>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</si>
  <si>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</si>
  <si>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</si>
  <si>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</si>
  <si>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</si>
  <si>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</si>
  <si>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CR</t>
    <phoneticPr fontId="27" type="noConversion"/>
  </si>
  <si>
    <t>Work Type</t>
    <phoneticPr fontId="27" type="noConversion"/>
  </si>
  <si>
    <t>Functional Area</t>
    <phoneticPr fontId="27" type="noConversion"/>
  </si>
  <si>
    <t>Hours</t>
    <phoneticPr fontId="27" type="noConversion"/>
  </si>
  <si>
    <t>Percent</t>
    <phoneticPr fontId="27" type="noConversion"/>
  </si>
  <si>
    <t>Office Phone</t>
    <phoneticPr fontId="1" type="noConversion"/>
  </si>
  <si>
    <t>Major</t>
    <phoneticPr fontId="1" type="noConversion"/>
  </si>
  <si>
    <t>% of time on Coding</t>
    <phoneticPr fontId="0" type="noConversion"/>
  </si>
  <si>
    <t>Refactoring</t>
    <phoneticPr fontId="27" type="noConversion"/>
  </si>
  <si>
    <t>Project</t>
    <phoneticPr fontId="27" type="noConversion"/>
  </si>
  <si>
    <t>FixBug</t>
    <phoneticPr fontId="27" type="noConversion"/>
  </si>
  <si>
    <t>Work item Description</t>
    <phoneticPr fontId="1" type="noConversion"/>
  </si>
  <si>
    <t>Total</t>
    <phoneticPr fontId="1" type="noConversion"/>
  </si>
  <si>
    <t>Type</t>
    <phoneticPr fontId="1" type="noConversion"/>
  </si>
  <si>
    <t>Area</t>
    <phoneticPr fontId="1" type="noConversion"/>
  </si>
  <si>
    <t>Feature/Project</t>
    <phoneticPr fontId="1" type="noConversion"/>
  </si>
  <si>
    <t>CP4 ID</t>
    <phoneticPr fontId="1" type="noConversion"/>
  </si>
  <si>
    <t>Dev</t>
    <phoneticPr fontId="1" type="noConversion"/>
  </si>
  <si>
    <t>Coding Hours</t>
    <phoneticPr fontId="1" type="noConversion"/>
  </si>
  <si>
    <t>Coding Due Date</t>
    <phoneticPr fontId="1" type="noConversion"/>
  </si>
  <si>
    <t>Deliver Date</t>
    <phoneticPr fontId="1" type="noConversion"/>
  </si>
  <si>
    <t>Demander</t>
    <phoneticPr fontId="1" type="noConversion"/>
  </si>
  <si>
    <t>PM</t>
    <phoneticPr fontId="1" type="noConversion"/>
  </si>
  <si>
    <t>Tester</t>
    <phoneticPr fontId="1" type="noConversion"/>
  </si>
  <si>
    <t>Status</t>
    <phoneticPr fontId="1" type="noConversion"/>
  </si>
  <si>
    <t>John Doe</t>
  </si>
  <si>
    <t>John Doe</t>
    <phoneticPr fontId="1" type="noConversion"/>
  </si>
  <si>
    <t>Jean Doe</t>
  </si>
  <si>
    <t>Jean Doe</t>
    <phoneticPr fontId="1" type="noConversion"/>
  </si>
  <si>
    <t>Richard Roe</t>
  </si>
  <si>
    <t>Richard Roe</t>
    <phoneticPr fontId="1" type="noConversion"/>
  </si>
  <si>
    <t>Area 1</t>
    <phoneticPr fontId="27" type="noConversion"/>
  </si>
  <si>
    <t>Area 2</t>
  </si>
  <si>
    <t>Area 3</t>
  </si>
  <si>
    <t>Area 4</t>
  </si>
  <si>
    <t>Area 5</t>
  </si>
  <si>
    <t>Area 6</t>
  </si>
  <si>
    <t>Area 7</t>
  </si>
  <si>
    <t>Area 8</t>
  </si>
  <si>
    <t>Area 9</t>
  </si>
  <si>
    <t>Area 10</t>
  </si>
  <si>
    <t>Area 11</t>
  </si>
  <si>
    <t>Sprint Start Date</t>
    <phoneticPr fontId="0" type="noConversion"/>
  </si>
  <si>
    <t>Sprint Due Date</t>
    <phoneticPr fontId="0" type="noConversion"/>
  </si>
  <si>
    <t>Joe Zhu</t>
  </si>
  <si>
    <t>Joe Zhu</t>
    <phoneticPr fontId="1" type="noConversion"/>
  </si>
  <si>
    <t>v</t>
    <phoneticPr fontId="0" type="noConversion"/>
  </si>
  <si>
    <t>h</t>
    <phoneticPr fontId="0" type="noConversion"/>
  </si>
  <si>
    <t>Project</t>
  </si>
  <si>
    <t>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</si>
</sst>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"/>
    <numFmt numFmtId="177" formatCode="0_);[Red]\(0\)"/>
    <numFmt numFmtId="178" formatCode="dd"/>
    <numFmt numFmtId="179" formatCode="ddd"/>
    <numFmt numFmtId="180" formatCode="[$-F800]dddd\,\ mmmm\ dd\,\ yyyy"/>
    <numFmt numFmtId="181" formatCode="0_ "/>
  </numFmts>
  <fonts count="36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10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sz val="8"/>
      <name val="宋体"/>
      <family val="3"/>
      <charset val="134"/>
    </font>
    <font>
      <b/>
      <sz val="11"/>
      <color theme="0"/>
      <name val="Calibri"/>
      <family val="2"/>
    </font>
    <font>
      <sz val="10"/>
      <color indexed="8"/>
      <name val="宋体"/>
      <family val="3"/>
      <charset val="134"/>
    </font>
    <font>
      <sz val="10"/>
      <color indexed="8"/>
      <name val="Calibri"/>
      <family val="2"/>
    </font>
    <font>
      <sz val="11"/>
      <color theme="0"/>
      <name val="Tahoma"/>
      <family val="2"/>
    </font>
    <font>
      <sz val="11"/>
      <name val="Tahoma"/>
      <family val="2"/>
    </font>
    <font>
      <sz val="10"/>
      <name val="宋体"/>
      <family val="3"/>
      <charset val="134"/>
    </font>
    <font>
      <sz val="10"/>
      <name val="Tahoma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9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4"/>
        <bgColor indexed="64"/>
      </patternFill>
    </fill>
    <fill>
      <patternFill patternType="solid">
        <fgColor indexed="9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3" borderId="0" applyNumberFormat="0" applyBorder="0" applyAlignment="0" applyProtection="0"/>
    <xf numFmtId="0" fontId="3" fillId="13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1" applyNumberFormat="0" applyAlignment="0" applyProtection="0"/>
    <xf numFmtId="0" fontId="7" fillId="8" borderId="2" applyNumberFormat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9" fillId="9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13" borderId="1" applyNumberFormat="0" applyAlignment="0" applyProtection="0"/>
    <xf numFmtId="0" fontId="14" fillId="0" borderId="6" applyNumberFormat="0" applyFill="0" applyAlignment="0" applyProtection="0"/>
    <xf numFmtId="0" fontId="15" fillId="19" borderId="0" applyNumberFormat="0" applyBorder="0" applyAlignment="0" applyProtection="0"/>
    <xf numFmtId="0" fontId="2" fillId="6" borderId="7" applyNumberFormat="0" applyFont="0" applyAlignment="0" applyProtection="0"/>
    <xf numFmtId="0" fontId="16" fillId="15" borderId="8" applyNumberFormat="0" applyAlignment="0" applyProtection="0"/>
    <xf numFmtId="0" fontId="17" fillId="0" borderId="0" applyNumberFormat="0" applyFill="0" applyBorder="0" applyAlignment="0" applyProtection="0"/>
    <xf numFmtId="0" fontId="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4" fillId="0" borderId="0"/>
  </cellStyleXfs>
  <cellXfs count="178">
    <xf numFmtId="0" fontId="0" fillId="0" borderId="0" xfId="0"/>
    <xf numFmtId="0" fontId="20" fillId="0" borderId="0" xfId="0" applyFont="1"/>
    <xf numFmtId="0" fontId="19" fillId="20" borderId="12" xfId="0" applyFont="1" applyFill="1" applyBorder="1" applyAlignment="1">
      <alignment horizontal="center"/>
    </xf>
    <xf numFmtId="0" fontId="20" fillId="0" borderId="0" xfId="0" applyFont="1" applyBorder="1"/>
    <xf numFmtId="0" fontId="20" fillId="20" borderId="0" xfId="0" applyFont="1" applyFill="1"/>
    <xf numFmtId="0" fontId="19" fillId="20" borderId="0" xfId="0" applyFont="1" applyFill="1"/>
    <xf numFmtId="0" fontId="22" fillId="20" borderId="13" xfId="0" applyFont="1" applyFill="1" applyBorder="1"/>
    <xf numFmtId="0" fontId="19" fillId="20" borderId="14" xfId="0" applyFont="1" applyFill="1" applyBorder="1"/>
    <xf numFmtId="0" fontId="22" fillId="20" borderId="16" xfId="0" applyFont="1" applyFill="1" applyBorder="1"/>
    <xf numFmtId="0" fontId="19" fillId="20" borderId="17" xfId="0" applyFont="1" applyFill="1" applyBorder="1"/>
    <xf numFmtId="180" fontId="20" fillId="20" borderId="17" xfId="0" applyNumberFormat="1" applyFont="1" applyFill="1" applyBorder="1"/>
    <xf numFmtId="180" fontId="20" fillId="20" borderId="18" xfId="0" applyNumberFormat="1" applyFont="1" applyFill="1" applyBorder="1"/>
    <xf numFmtId="14" fontId="20" fillId="20" borderId="0" xfId="0" applyNumberFormat="1" applyFont="1" applyFill="1"/>
    <xf numFmtId="0" fontId="23" fillId="20" borderId="0" xfId="0" applyNumberFormat="1" applyFont="1" applyFill="1" applyBorder="1" applyAlignment="1">
      <alignment horizontal="center"/>
    </xf>
    <xf numFmtId="0" fontId="24" fillId="20" borderId="19" xfId="0" applyFont="1" applyFill="1" applyBorder="1" applyAlignment="1">
      <alignment horizontal="center"/>
    </xf>
    <xf numFmtId="0" fontId="20" fillId="20" borderId="20" xfId="0" applyFont="1" applyFill="1" applyBorder="1" applyAlignment="1"/>
    <xf numFmtId="0" fontId="21" fillId="20" borderId="20" xfId="0" applyFont="1" applyFill="1" applyBorder="1" applyAlignment="1"/>
    <xf numFmtId="0" fontId="21" fillId="20" borderId="19" xfId="0" applyFont="1" applyFill="1" applyBorder="1" applyAlignment="1"/>
    <xf numFmtId="0" fontId="21" fillId="20" borderId="21" xfId="0" applyFont="1" applyFill="1" applyBorder="1" applyAlignment="1"/>
    <xf numFmtId="49" fontId="25" fillId="20" borderId="22" xfId="0" applyNumberFormat="1" applyFont="1" applyFill="1" applyBorder="1" applyAlignment="1">
      <alignment horizontal="left" vertical="top" wrapText="1"/>
    </xf>
    <xf numFmtId="0" fontId="20" fillId="20" borderId="0" xfId="0" applyFont="1" applyFill="1" applyBorder="1" applyAlignment="1">
      <alignment horizontal="center" vertical="top" wrapText="1"/>
    </xf>
    <xf numFmtId="0" fontId="19" fillId="20" borderId="0" xfId="0" applyFont="1" applyFill="1" applyBorder="1" applyAlignment="1">
      <alignment vertical="top" wrapText="1"/>
    </xf>
    <xf numFmtId="0" fontId="25" fillId="20" borderId="0" xfId="0" applyFont="1" applyFill="1" applyBorder="1" applyAlignment="1">
      <alignment wrapText="1"/>
    </xf>
    <xf numFmtId="0" fontId="20" fillId="20" borderId="0" xfId="0" applyFont="1" applyFill="1" applyBorder="1" applyAlignment="1">
      <alignment wrapText="1"/>
    </xf>
    <xf numFmtId="176" fontId="25" fillId="20" borderId="23" xfId="0" applyNumberFormat="1" applyFont="1" applyFill="1" applyBorder="1" applyAlignment="1">
      <alignment horizontal="center" wrapText="1"/>
    </xf>
    <xf numFmtId="16" fontId="20" fillId="0" borderId="24" xfId="0" applyNumberFormat="1" applyFont="1" applyBorder="1" applyAlignment="1">
      <alignment horizontal="center"/>
    </xf>
    <xf numFmtId="178" fontId="20" fillId="21" borderId="25" xfId="0" applyNumberFormat="1" applyFont="1" applyFill="1" applyBorder="1" applyAlignment="1">
      <alignment horizontal="center"/>
    </xf>
    <xf numFmtId="178" fontId="20" fillId="22" borderId="25" xfId="0" applyNumberFormat="1" applyFont="1" applyFill="1" applyBorder="1" applyAlignment="1">
      <alignment horizontal="center"/>
    </xf>
    <xf numFmtId="16" fontId="20" fillId="21" borderId="24" xfId="0" applyNumberFormat="1" applyFont="1" applyFill="1" applyBorder="1" applyAlignment="1">
      <alignment horizontal="center"/>
    </xf>
    <xf numFmtId="49" fontId="20" fillId="20" borderId="22" xfId="0" applyNumberFormat="1" applyFont="1" applyFill="1" applyBorder="1" applyAlignment="1">
      <alignment horizontal="left" vertical="top" wrapText="1"/>
    </xf>
    <xf numFmtId="0" fontId="20" fillId="20" borderId="0" xfId="0" applyFont="1" applyFill="1" applyBorder="1" applyAlignment="1">
      <alignment vertical="top" wrapText="1"/>
    </xf>
    <xf numFmtId="0" fontId="22" fillId="20" borderId="0" xfId="0" applyFont="1" applyFill="1" applyBorder="1" applyAlignment="1">
      <alignment horizontal="center" wrapText="1"/>
    </xf>
    <xf numFmtId="0" fontId="22" fillId="20" borderId="23" xfId="0" applyFont="1" applyFill="1" applyBorder="1" applyAlignment="1">
      <alignment horizontal="center" wrapText="1"/>
    </xf>
    <xf numFmtId="0" fontId="20" fillId="0" borderId="26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0" fontId="20" fillId="22" borderId="27" xfId="0" applyFont="1" applyFill="1" applyBorder="1" applyAlignment="1">
      <alignment horizontal="center"/>
    </xf>
    <xf numFmtId="0" fontId="20" fillId="22" borderId="28" xfId="0" applyFont="1" applyFill="1" applyBorder="1" applyAlignment="1">
      <alignment horizontal="center"/>
    </xf>
    <xf numFmtId="49" fontId="25" fillId="20" borderId="29" xfId="0" applyNumberFormat="1" applyFont="1" applyFill="1" applyBorder="1" applyAlignment="1">
      <alignment horizontal="left" vertical="top" wrapText="1"/>
    </xf>
    <xf numFmtId="177" fontId="20" fillId="20" borderId="11" xfId="0" applyNumberFormat="1" applyFont="1" applyFill="1" applyBorder="1" applyAlignment="1">
      <alignment horizontal="center" vertical="top" wrapText="1"/>
    </xf>
    <xf numFmtId="1" fontId="19" fillId="20" borderId="0" xfId="0" applyNumberFormat="1" applyFont="1" applyFill="1" applyBorder="1" applyAlignment="1">
      <alignment horizontal="left" vertical="top" wrapText="1"/>
    </xf>
    <xf numFmtId="0" fontId="19" fillId="20" borderId="30" xfId="0" applyFont="1" applyFill="1" applyBorder="1" applyAlignment="1">
      <alignment horizontal="center"/>
    </xf>
    <xf numFmtId="9" fontId="20" fillId="20" borderId="30" xfId="0" applyNumberFormat="1" applyFont="1" applyFill="1" applyBorder="1" applyAlignment="1">
      <alignment horizontal="center"/>
    </xf>
    <xf numFmtId="176" fontId="20" fillId="20" borderId="31" xfId="0" applyNumberFormat="1" applyFont="1" applyFill="1" applyBorder="1"/>
    <xf numFmtId="0" fontId="20" fillId="23" borderId="32" xfId="0" applyFont="1" applyFill="1" applyBorder="1" applyAlignment="1">
      <alignment horizontal="center"/>
    </xf>
    <xf numFmtId="0" fontId="20" fillId="23" borderId="15" xfId="0" applyFont="1" applyFill="1" applyBorder="1" applyAlignment="1">
      <alignment horizontal="center"/>
    </xf>
    <xf numFmtId="49" fontId="20" fillId="20" borderId="29" xfId="0" applyNumberFormat="1" applyFont="1" applyFill="1" applyBorder="1" applyAlignment="1">
      <alignment horizontal="left" vertical="top" wrapText="1"/>
    </xf>
    <xf numFmtId="9" fontId="19" fillId="20" borderId="0" xfId="0" applyNumberFormat="1" applyFont="1" applyFill="1" applyBorder="1" applyAlignment="1">
      <alignment horizontal="left" vertical="top" wrapText="1"/>
    </xf>
    <xf numFmtId="0" fontId="20" fillId="20" borderId="29" xfId="0" applyFont="1" applyFill="1" applyBorder="1" applyAlignment="1">
      <alignment horizontal="center"/>
    </xf>
    <xf numFmtId="0" fontId="20" fillId="20" borderId="11" xfId="0" applyFont="1" applyFill="1" applyBorder="1" applyAlignment="1">
      <alignment horizontal="center"/>
    </xf>
    <xf numFmtId="0" fontId="20" fillId="23" borderId="33" xfId="0" applyFont="1" applyFill="1" applyBorder="1" applyAlignment="1">
      <alignment horizontal="center"/>
    </xf>
    <xf numFmtId="0" fontId="20" fillId="23" borderId="34" xfId="0" applyFont="1" applyFill="1" applyBorder="1" applyAlignment="1">
      <alignment horizontal="center"/>
    </xf>
    <xf numFmtId="49" fontId="20" fillId="22" borderId="29" xfId="0" applyNumberFormat="1" applyFont="1" applyFill="1" applyBorder="1" applyAlignment="1">
      <alignment horizontal="left" vertical="top" wrapText="1"/>
    </xf>
    <xf numFmtId="177" fontId="20" fillId="22" borderId="11" xfId="0" applyNumberFormat="1" applyFont="1" applyFill="1" applyBorder="1" applyAlignment="1">
      <alignment horizontal="center" vertical="top" wrapText="1"/>
    </xf>
    <xf numFmtId="0" fontId="20" fillId="20" borderId="22" xfId="0" applyFont="1" applyFill="1" applyBorder="1"/>
    <xf numFmtId="177" fontId="19" fillId="20" borderId="0" xfId="0" applyNumberFormat="1" applyFont="1" applyFill="1" applyBorder="1" applyAlignment="1">
      <alignment horizontal="left" vertical="top" wrapText="1"/>
    </xf>
    <xf numFmtId="0" fontId="19" fillId="20" borderId="0" xfId="0" applyFont="1" applyFill="1" applyBorder="1"/>
    <xf numFmtId="0" fontId="20" fillId="20" borderId="31" xfId="0" applyFont="1" applyFill="1" applyBorder="1"/>
    <xf numFmtId="0" fontId="20" fillId="20" borderId="0" xfId="0" applyFont="1" applyFill="1" applyBorder="1"/>
    <xf numFmtId="177" fontId="20" fillId="20" borderId="0" xfId="0" applyNumberFormat="1" applyFont="1" applyFill="1" applyBorder="1" applyAlignment="1">
      <alignment horizontal="left" vertical="top" wrapText="1"/>
    </xf>
    <xf numFmtId="0" fontId="19" fillId="20" borderId="35" xfId="0" applyFont="1" applyFill="1" applyBorder="1" applyAlignment="1">
      <alignment horizontal="center"/>
    </xf>
    <xf numFmtId="0" fontId="20" fillId="20" borderId="36" xfId="0" applyFont="1" applyFill="1" applyBorder="1" applyAlignment="1">
      <alignment horizontal="center"/>
    </xf>
    <xf numFmtId="0" fontId="20" fillId="23" borderId="37" xfId="0" applyFont="1" applyFill="1" applyBorder="1" applyAlignment="1">
      <alignment horizontal="center"/>
    </xf>
    <xf numFmtId="0" fontId="20" fillId="23" borderId="18" xfId="0" applyFont="1" applyFill="1" applyBorder="1" applyAlignment="1">
      <alignment horizontal="center"/>
    </xf>
    <xf numFmtId="0" fontId="20" fillId="20" borderId="0" xfId="0" applyFont="1" applyFill="1" applyBorder="1" applyAlignment="1">
      <alignment horizontal="center"/>
    </xf>
    <xf numFmtId="1" fontId="20" fillId="20" borderId="23" xfId="0" applyNumberFormat="1" applyFont="1" applyFill="1" applyBorder="1" applyAlignment="1">
      <alignment wrapText="1"/>
    </xf>
    <xf numFmtId="0" fontId="20" fillId="24" borderId="24" xfId="0" applyFont="1" applyFill="1" applyBorder="1"/>
    <xf numFmtId="0" fontId="20" fillId="24" borderId="25" xfId="0" applyFont="1" applyFill="1" applyBorder="1"/>
    <xf numFmtId="0" fontId="20" fillId="24" borderId="0" xfId="0" applyFont="1" applyFill="1" applyBorder="1"/>
    <xf numFmtId="0" fontId="25" fillId="24" borderId="0" xfId="0" applyFont="1" applyFill="1" applyBorder="1" applyAlignment="1">
      <alignment horizontal="center"/>
    </xf>
    <xf numFmtId="0" fontId="25" fillId="24" borderId="23" xfId="0" applyFont="1" applyFill="1" applyBorder="1" applyAlignment="1">
      <alignment horizontal="center"/>
    </xf>
    <xf numFmtId="0" fontId="19" fillId="20" borderId="38" xfId="0" applyFont="1" applyFill="1" applyBorder="1"/>
    <xf numFmtId="0" fontId="19" fillId="20" borderId="39" xfId="0" applyFont="1" applyFill="1" applyBorder="1"/>
    <xf numFmtId="0" fontId="20" fillId="20" borderId="39" xfId="0" applyFont="1" applyFill="1" applyBorder="1"/>
    <xf numFmtId="0" fontId="20" fillId="20" borderId="40" xfId="0" applyFont="1" applyFill="1" applyBorder="1"/>
    <xf numFmtId="0" fontId="20" fillId="20" borderId="38" xfId="0" applyFont="1" applyFill="1" applyBorder="1"/>
    <xf numFmtId="0" fontId="20" fillId="24" borderId="39" xfId="0" applyFont="1" applyFill="1" applyBorder="1"/>
    <xf numFmtId="0" fontId="20" fillId="25" borderId="0" xfId="0" applyFont="1" applyFill="1" applyAlignment="1">
      <alignment horizontal="center"/>
    </xf>
    <xf numFmtId="16" fontId="19" fillId="20" borderId="0" xfId="0" applyNumberFormat="1" applyFont="1" applyFill="1"/>
    <xf numFmtId="179" fontId="20" fillId="20" borderId="0" xfId="0" applyNumberFormat="1" applyFont="1" applyFill="1"/>
    <xf numFmtId="16" fontId="20" fillId="20" borderId="0" xfId="0" applyNumberFormat="1" applyFont="1" applyFill="1"/>
    <xf numFmtId="0" fontId="20" fillId="20" borderId="0" xfId="0" quotePrefix="1" applyFont="1" applyFill="1" applyAlignment="1">
      <alignment horizontal="left"/>
    </xf>
    <xf numFmtId="0" fontId="20" fillId="20" borderId="0" xfId="0" applyFont="1" applyFill="1" applyAlignment="1">
      <alignment horizontal="center"/>
    </xf>
    <xf numFmtId="14" fontId="19" fillId="20" borderId="0" xfId="0" applyNumberFormat="1" applyFont="1" applyFill="1"/>
    <xf numFmtId="0" fontId="22" fillId="20" borderId="0" xfId="0" applyFont="1" applyFill="1"/>
    <xf numFmtId="0" fontId="22" fillId="26" borderId="41" xfId="0" applyFont="1" applyFill="1" applyBorder="1" applyAlignment="1">
      <alignment horizontal="center"/>
    </xf>
    <xf numFmtId="0" fontId="22" fillId="26" borderId="42" xfId="0" applyFont="1" applyFill="1" applyBorder="1" applyAlignment="1">
      <alignment horizontal="left"/>
    </xf>
    <xf numFmtId="0" fontId="22" fillId="26" borderId="43" xfId="0" applyFont="1" applyFill="1" applyBorder="1" applyAlignment="1">
      <alignment horizontal="center"/>
    </xf>
    <xf numFmtId="0" fontId="22" fillId="26" borderId="44" xfId="0" applyFont="1" applyFill="1" applyBorder="1" applyAlignment="1">
      <alignment horizontal="center"/>
    </xf>
    <xf numFmtId="0" fontId="22" fillId="26" borderId="45" xfId="0" applyFont="1" applyFill="1" applyBorder="1" applyAlignment="1">
      <alignment horizontal="center"/>
    </xf>
    <xf numFmtId="0" fontId="22" fillId="26" borderId="46" xfId="0" applyFont="1" applyFill="1" applyBorder="1" applyAlignment="1">
      <alignment horizontal="center"/>
    </xf>
    <xf numFmtId="0" fontId="22" fillId="26" borderId="47" xfId="0" applyFont="1" applyFill="1" applyBorder="1" applyAlignment="1">
      <alignment horizontal="left"/>
    </xf>
    <xf numFmtId="0" fontId="22" fillId="26" borderId="47" xfId="0" applyFont="1" applyFill="1" applyBorder="1" applyAlignment="1">
      <alignment horizontal="center"/>
    </xf>
    <xf numFmtId="0" fontId="22" fillId="26" borderId="48" xfId="0" applyFont="1" applyFill="1" applyBorder="1" applyAlignment="1">
      <alignment horizontal="center"/>
    </xf>
    <xf numFmtId="0" fontId="22" fillId="26" borderId="49" xfId="0" applyFont="1" applyFill="1" applyBorder="1" applyAlignment="1">
      <alignment horizontal="center"/>
    </xf>
    <xf numFmtId="0" fontId="19" fillId="26" borderId="50" xfId="0" applyFont="1" applyFill="1" applyBorder="1" applyAlignment="1">
      <alignment horizontal="left"/>
    </xf>
    <xf numFmtId="0" fontId="19" fillId="26" borderId="51" xfId="0" applyFont="1" applyFill="1" applyBorder="1" applyAlignment="1">
      <alignment horizontal="left"/>
    </xf>
    <xf numFmtId="0" fontId="19" fillId="26" borderId="52" xfId="0" applyFont="1" applyFill="1" applyBorder="1" applyAlignment="1">
      <alignment horizontal="left"/>
    </xf>
    <xf numFmtId="0" fontId="19" fillId="0" borderId="53" xfId="0" applyFont="1" applyFill="1" applyBorder="1"/>
    <xf numFmtId="0" fontId="19" fillId="0" borderId="54" xfId="0" applyFont="1" applyFill="1" applyBorder="1" applyAlignment="1">
      <alignment horizontal="left" vertical="top"/>
    </xf>
    <xf numFmtId="0" fontId="19" fillId="0" borderId="55" xfId="0" applyFont="1" applyFill="1" applyBorder="1" applyAlignment="1">
      <alignment horizontal="left"/>
    </xf>
    <xf numFmtId="0" fontId="19" fillId="0" borderId="56" xfId="0" applyFont="1" applyBorder="1" applyAlignment="1">
      <alignment horizontal="left"/>
    </xf>
    <xf numFmtId="180" fontId="20" fillId="20" borderId="0" xfId="0" applyNumberFormat="1" applyFont="1" applyFill="1"/>
    <xf numFmtId="0" fontId="4" fillId="0" borderId="0" xfId="44" applyFont="1" applyAlignment="1">
      <alignment horizontal="center"/>
    </xf>
    <xf numFmtId="9" fontId="0" fillId="0" borderId="0" xfId="0" applyNumberFormat="1"/>
    <xf numFmtId="9" fontId="0" fillId="0" borderId="11" xfId="0" applyNumberFormat="1" applyBorder="1"/>
    <xf numFmtId="0" fontId="4" fillId="0" borderId="11" xfId="44" applyFont="1" applyBorder="1" applyAlignment="1">
      <alignment horizontal="center"/>
    </xf>
    <xf numFmtId="0" fontId="26" fillId="0" borderId="11" xfId="0" applyNumberFormat="1" applyFont="1" applyBorder="1" applyAlignment="1">
      <alignment horizontal="center"/>
    </xf>
    <xf numFmtId="0" fontId="8" fillId="0" borderId="11" xfId="44" applyFont="1" applyBorder="1" applyAlignment="1">
      <alignment horizontal="center"/>
    </xf>
    <xf numFmtId="0" fontId="29" fillId="27" borderId="11" xfId="44" applyFont="1" applyFill="1" applyBorder="1" applyAlignment="1">
      <alignment horizontal="center"/>
    </xf>
    <xf numFmtId="9" fontId="26" fillId="0" borderId="11" xfId="0" applyNumberFormat="1" applyFont="1" applyBorder="1" applyAlignment="1">
      <alignment horizontal="center"/>
    </xf>
    <xf numFmtId="0" fontId="8" fillId="0" borderId="11" xfId="44" applyFont="1" applyFill="1" applyBorder="1" applyAlignment="1">
      <alignment horizontal="left"/>
    </xf>
    <xf numFmtId="0" fontId="26" fillId="0" borderId="11" xfId="0" applyFont="1" applyBorder="1" applyAlignment="1">
      <alignment horizontal="center"/>
    </xf>
    <xf numFmtId="181" fontId="20" fillId="20" borderId="30" xfId="0" applyNumberFormat="1" applyFont="1" applyFill="1" applyBorder="1" applyAlignment="1">
      <alignment horizontal="center"/>
    </xf>
    <xf numFmtId="0" fontId="28" fillId="26" borderId="50" xfId="0" applyFont="1" applyFill="1" applyBorder="1" applyAlignment="1">
      <alignment horizontal="left"/>
    </xf>
    <xf numFmtId="0" fontId="30" fillId="0" borderId="11" xfId="44" applyFont="1" applyBorder="1" applyAlignment="1">
      <alignment horizontal="left"/>
    </xf>
    <xf numFmtId="0" fontId="31" fillId="0" borderId="11" xfId="44" applyFont="1" applyBorder="1" applyAlignment="1">
      <alignment horizontal="left"/>
    </xf>
    <xf numFmtId="0" fontId="31" fillId="0" borderId="11" xfId="44" applyFont="1" applyFill="1" applyBorder="1" applyAlignment="1">
      <alignment horizontal="left"/>
    </xf>
    <xf numFmtId="0" fontId="32" fillId="27" borderId="65" xfId="0" applyFont="1" applyFill="1" applyBorder="1" applyAlignment="1">
      <alignment horizontal="center" vertical="center" wrapText="1"/>
    </xf>
    <xf numFmtId="0" fontId="32" fillId="27" borderId="66" xfId="0" applyFont="1" applyFill="1" applyBorder="1" applyAlignment="1">
      <alignment horizontal="center" vertical="center" wrapText="1"/>
    </xf>
    <xf numFmtId="0" fontId="32" fillId="27" borderId="67" xfId="0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49" fontId="20" fillId="0" borderId="63" xfId="0" applyNumberFormat="1" applyFont="1" applyFill="1" applyBorder="1" applyAlignment="1">
      <alignment horizontal="left" indent="1"/>
    </xf>
    <xf numFmtId="49" fontId="20" fillId="0" borderId="10" xfId="0" applyNumberFormat="1" applyFont="1" applyFill="1" applyBorder="1" applyAlignment="1">
      <alignment horizontal="left" indent="1"/>
    </xf>
    <xf numFmtId="49" fontId="34" fillId="0" borderId="10" xfId="0" applyNumberFormat="1" applyFont="1" applyFill="1" applyBorder="1" applyAlignment="1">
      <alignment horizontal="left" indent="1"/>
    </xf>
    <xf numFmtId="0" fontId="20" fillId="0" borderId="11" xfId="0" applyNumberFormat="1" applyFont="1" applyFill="1" applyBorder="1" applyAlignment="1">
      <alignment horizontal="left" indent="1"/>
    </xf>
    <xf numFmtId="49" fontId="20" fillId="0" borderId="62" xfId="0" applyNumberFormat="1" applyFont="1" applyFill="1" applyBorder="1" applyAlignment="1">
      <alignment horizontal="left" wrapText="1"/>
    </xf>
    <xf numFmtId="1" fontId="20" fillId="0" borderId="10" xfId="0" applyNumberFormat="1" applyFont="1" applyBorder="1"/>
    <xf numFmtId="14" fontId="20" fillId="0" borderId="63" xfId="0" applyNumberFormat="1" applyFont="1" applyBorder="1"/>
    <xf numFmtId="14" fontId="20" fillId="0" borderId="10" xfId="0" applyNumberFormat="1" applyFont="1" applyBorder="1"/>
    <xf numFmtId="49" fontId="20" fillId="0" borderId="61" xfId="0" applyNumberFormat="1" applyFont="1" applyFill="1" applyBorder="1" applyAlignment="1">
      <alignment horizontal="left" indent="1"/>
    </xf>
    <xf numFmtId="49" fontId="20" fillId="0" borderId="62" xfId="0" applyNumberFormat="1" applyFont="1" applyFill="1" applyBorder="1" applyAlignment="1">
      <alignment horizontal="left"/>
    </xf>
    <xf numFmtId="0" fontId="20" fillId="0" borderId="36" xfId="0" applyNumberFormat="1" applyFont="1" applyFill="1" applyBorder="1" applyAlignment="1">
      <alignment horizontal="left" indent="1"/>
    </xf>
    <xf numFmtId="49" fontId="20" fillId="0" borderId="64" xfId="0" applyNumberFormat="1" applyFont="1" applyFill="1" applyBorder="1" applyAlignment="1">
      <alignment horizontal="left" indent="1"/>
    </xf>
    <xf numFmtId="0" fontId="32" fillId="27" borderId="68" xfId="0" applyFont="1" applyFill="1" applyBorder="1" applyAlignment="1">
      <alignment horizontal="center"/>
    </xf>
    <xf numFmtId="0" fontId="32" fillId="27" borderId="36" xfId="0" applyFont="1" applyFill="1" applyBorder="1"/>
    <xf numFmtId="0" fontId="32" fillId="27" borderId="64" xfId="0" applyFont="1" applyFill="1" applyBorder="1"/>
    <xf numFmtId="0" fontId="33" fillId="0" borderId="0" xfId="0" applyFont="1"/>
    <xf numFmtId="49" fontId="34" fillId="0" borderId="62" xfId="0" applyNumberFormat="1" applyFont="1" applyFill="1" applyBorder="1" applyAlignment="1">
      <alignment horizontal="left"/>
    </xf>
    <xf numFmtId="49" fontId="35" fillId="0" borderId="62" xfId="0" applyNumberFormat="1" applyFont="1" applyFill="1" applyBorder="1" applyAlignment="1">
      <alignment horizontal="left"/>
    </xf>
    <xf numFmtId="0" fontId="20" fillId="20" borderId="70" xfId="0" applyFont="1" applyFill="1" applyBorder="1"/>
    <xf numFmtId="180" fontId="20" fillId="20" borderId="28" xfId="0" applyNumberFormat="1" applyFont="1" applyFill="1" applyBorder="1"/>
    <xf numFmtId="9" fontId="20" fillId="20" borderId="71" xfId="0" applyNumberFormat="1" applyFont="1" applyFill="1" applyBorder="1" applyAlignment="1">
      <alignment horizontal="center"/>
    </xf>
    <xf numFmtId="0" fontId="20" fillId="20" borderId="72" xfId="0" applyFont="1" applyFill="1" applyBorder="1" applyAlignment="1">
      <alignment horizontal="center"/>
    </xf>
    <xf numFmtId="9" fontId="20" fillId="20" borderId="69" xfId="0" applyNumberFormat="1" applyFont="1" applyFill="1" applyBorder="1" applyAlignment="1">
      <alignment horizontal="center"/>
    </xf>
    <xf numFmtId="181" fontId="20" fillId="20" borderId="69" xfId="0" applyNumberFormat="1" applyFont="1" applyFill="1" applyBorder="1" applyAlignment="1">
      <alignment horizontal="center"/>
    </xf>
    <xf numFmtId="49" fontId="19" fillId="0" borderId="63" xfId="0" applyNumberFormat="1" applyFont="1" applyFill="1" applyBorder="1" applyAlignment="1">
      <alignment horizontal="left" indent="1"/>
    </xf>
    <xf numFmtId="49" fontId="19" fillId="0" borderId="10" xfId="0" applyNumberFormat="1" applyFont="1" applyFill="1" applyBorder="1" applyAlignment="1">
      <alignment horizontal="left" indent="1"/>
    </xf>
    <xf numFmtId="0" fontId="19" fillId="0" borderId="36" xfId="0" applyNumberFormat="1" applyFont="1" applyFill="1" applyBorder="1" applyAlignment="1">
      <alignment horizontal="left" indent="1"/>
    </xf>
    <xf numFmtId="49" fontId="19" fillId="0" borderId="62" xfId="0" applyNumberFormat="1" applyFont="1" applyFill="1" applyBorder="1" applyAlignment="1">
      <alignment horizontal="left"/>
    </xf>
    <xf numFmtId="0" fontId="19" fillId="28" borderId="36" xfId="0" applyFont="1" applyFill="1" applyBorder="1" applyAlignment="1">
      <alignment horizontal="center"/>
    </xf>
    <xf numFmtId="49" fontId="19" fillId="0" borderId="61" xfId="0" applyNumberFormat="1" applyFont="1" applyFill="1" applyBorder="1" applyAlignment="1">
      <alignment horizontal="left" indent="1"/>
    </xf>
    <xf numFmtId="1" fontId="19" fillId="0" borderId="10" xfId="0" applyNumberFormat="1" applyFont="1" applyBorder="1"/>
    <xf numFmtId="14" fontId="19" fillId="0" borderId="63" xfId="0" applyNumberFormat="1" applyFont="1" applyBorder="1"/>
    <xf numFmtId="14" fontId="19" fillId="0" borderId="10" xfId="0" applyNumberFormat="1" applyFont="1" applyBorder="1"/>
    <xf numFmtId="0" fontId="20" fillId="0" borderId="66" xfId="0" applyNumberFormat="1" applyFont="1" applyFill="1" applyBorder="1" applyAlignment="1">
      <alignment horizontal="left" indent="1"/>
    </xf>
    <xf numFmtId="49" fontId="20" fillId="0" borderId="67" xfId="0" applyNumberFormat="1" applyFont="1" applyFill="1" applyBorder="1" applyAlignment="1">
      <alignment horizontal="left" wrapText="1"/>
    </xf>
    <xf numFmtId="0" fontId="20" fillId="20" borderId="66" xfId="0" applyFont="1" applyFill="1" applyBorder="1" applyAlignment="1">
      <alignment horizontal="center"/>
    </xf>
    <xf numFmtId="0" fontId="20" fillId="20" borderId="57" xfId="0" applyFont="1" applyFill="1" applyBorder="1" applyAlignment="1">
      <alignment horizontal="center"/>
    </xf>
    <xf numFmtId="0" fontId="20" fillId="20" borderId="14" xfId="0" applyFont="1" applyFill="1" applyBorder="1" applyAlignment="1">
      <alignment horizontal="center"/>
    </xf>
    <xf numFmtId="0" fontId="20" fillId="20" borderId="13" xfId="0" applyFont="1" applyFill="1" applyBorder="1" applyAlignment="1">
      <alignment horizontal="center"/>
    </xf>
    <xf numFmtId="0" fontId="20" fillId="20" borderId="17" xfId="0" applyFont="1" applyFill="1" applyBorder="1" applyAlignment="1">
      <alignment horizontal="center"/>
    </xf>
    <xf numFmtId="0" fontId="20" fillId="20" borderId="70" xfId="0" applyFont="1" applyFill="1" applyBorder="1" applyAlignment="1">
      <alignment horizontal="center"/>
    </xf>
    <xf numFmtId="0" fontId="20" fillId="20" borderId="62" xfId="0" applyFont="1" applyFill="1" applyBorder="1" applyAlignment="1">
      <alignment horizontal="center"/>
    </xf>
    <xf numFmtId="0" fontId="20" fillId="20" borderId="73" xfId="0" applyFont="1" applyFill="1" applyBorder="1" applyAlignment="1">
      <alignment horizontal="center"/>
    </xf>
    <xf numFmtId="0" fontId="20" fillId="20" borderId="33" xfId="0" applyFont="1" applyFill="1" applyBorder="1" applyAlignment="1">
      <alignment horizontal="center"/>
    </xf>
    <xf numFmtId="0" fontId="20" fillId="20" borderId="32" xfId="0" applyFont="1" applyFill="1" applyBorder="1" applyAlignment="1">
      <alignment horizontal="center"/>
    </xf>
    <xf numFmtId="0" fontId="25" fillId="24" borderId="57" xfId="0" applyFont="1" applyFill="1" applyBorder="1" applyAlignment="1">
      <alignment horizontal="center"/>
    </xf>
    <xf numFmtId="0" fontId="25" fillId="24" borderId="58" xfId="0" applyFont="1" applyFill="1" applyBorder="1" applyAlignment="1">
      <alignment horizontal="center"/>
    </xf>
    <xf numFmtId="0" fontId="25" fillId="24" borderId="59" xfId="0" applyFont="1" applyFill="1" applyBorder="1" applyAlignment="1">
      <alignment horizontal="center"/>
    </xf>
    <xf numFmtId="0" fontId="24" fillId="27" borderId="19" xfId="0" applyFont="1" applyFill="1" applyBorder="1" applyAlignment="1">
      <alignment horizontal="center"/>
    </xf>
    <xf numFmtId="0" fontId="24" fillId="27" borderId="20" xfId="0" applyFont="1" applyFill="1" applyBorder="1" applyAlignment="1">
      <alignment horizontal="center"/>
    </xf>
    <xf numFmtId="0" fontId="24" fillId="27" borderId="21" xfId="0" applyFont="1" applyFill="1" applyBorder="1" applyAlignment="1">
      <alignment horizontal="center"/>
    </xf>
    <xf numFmtId="16" fontId="25" fillId="20" borderId="24" xfId="0" applyNumberFormat="1" applyFont="1" applyFill="1" applyBorder="1" applyAlignment="1">
      <alignment horizontal="center"/>
    </xf>
    <xf numFmtId="16" fontId="25" fillId="20" borderId="25" xfId="0" applyNumberFormat="1" applyFont="1" applyFill="1" applyBorder="1" applyAlignment="1">
      <alignment horizontal="center"/>
    </xf>
    <xf numFmtId="16" fontId="25" fillId="20" borderId="60" xfId="0" applyNumberFormat="1" applyFont="1" applyFill="1" applyBorder="1" applyAlignment="1">
      <alignment horizontal="center"/>
    </xf>
    <xf numFmtId="0" fontId="20" fillId="20" borderId="26" xfId="0" applyFont="1" applyFill="1" applyBorder="1" applyAlignment="1">
      <alignment horizontal="center"/>
    </xf>
    <xf numFmtId="0" fontId="20" fillId="20" borderId="27" xfId="0" applyFont="1" applyFill="1" applyBorder="1" applyAlignment="1">
      <alignment horizontal="center"/>
    </xf>
    <xf numFmtId="0" fontId="20" fillId="20" borderId="28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44"/>
    <cellStyle name="Note" xfId="39" builtinId="10" customBuiltin="1"/>
    <cellStyle name="Output" xfId="40" builtinId="21" customBuiltin="1"/>
    <cellStyle name="Sheet Title" xfId="41"/>
    <cellStyle name="Total" xfId="42" builtinId="25" customBuiltin="1"/>
    <cellStyle name="Warning Text" xfId="43" builtinId="11" customBuiltin="1"/>
  </cellStyles>
  <dxfs count="295"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9" formatCode="yyyy/m/d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9" formatCode="yyyy/m/d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ahoma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</dxfs>
  <tableStyles count="0" defaultTableStyle="TableStyleMedium9" defaultPivotStyle="PivotStyleLight16"/>
  <colors>
    <mruColors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Project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4675-91FC-0204732A18E5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Refactoring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4675-91FC-0204732A18E5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FixBug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4-4675-91FC-0204732A18E5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CR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4-4675-91FC-0204732A1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Area 1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A-471A-8FDA-538942BCDDBC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Area 2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A-471A-8FDA-538942BCDDBC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Area 3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CA-471A-8FDA-538942BCDDBC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Area 4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CA-471A-8FDA-538942BCDDBC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Area 5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CA-471A-8FDA-538942BCDDBC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Area 6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D8CA-471A-8FDA-538942BCDDBC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Area 7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D8CA-471A-8FDA-538942BCDDBC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Area 8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D8CA-471A-8FDA-538942BCDDBC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Area 9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D8CA-471A-8FDA-538942BCDDBC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Area 10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D8CA-471A-8FDA-538942BCDDBC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Area 11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D8CA-471A-8FDA-538942BCD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D8CA-471A-8FDA-538942BCDDBC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8CA-471A-8FDA-538942BCDDB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8CA-471A-8FDA-538942BCDDBC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8CA-471A-8FDA-538942BCDDBC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8CA-471A-8FDA-538942BCDDBC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B-4836-B0DA-028B40BCC938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B-4836-B0DA-028B40BCC938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B-4836-B0DA-028B40BCC938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B-4836-B0DA-028B40BCC938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AB-4836-B0DA-028B40BC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495299</xdr:colOff>
      <xdr:row>1</xdr:row>
      <xdr:rowOff>19049</xdr:rowOff>
    </xdr:from>
    <xdr:to>
      <xdr:col>21</xdr:col>
      <xdr:colOff>47624</xdr:colOff>
      <xdr:row>22</xdr:row>
      <xdr:rowOff>47624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Backlog" displayName="Backlog" ref="A1:M70" totalsRowShown="0" headerRowDxfId="246" headerRowBorderDxfId="245" tableBorderDxfId="244">
  <autoFilter ref="A1:M70"/>
  <tableColumns count="13">
    <tableColumn id="1" name="Type" dataDxfId="243"/>
    <tableColumn id="2" name="Area" dataDxfId="242"/>
    <tableColumn id="13" name="Status" dataDxfId="241"/>
    <tableColumn id="3" name="Feature/Project" dataDxfId="240"/>
    <tableColumn id="4" name="CP4 ID" dataDxfId="239"/>
    <tableColumn id="5" name="Work item Description" dataDxfId="238"/>
    <tableColumn id="6" name="Dev" dataDxfId="237"/>
    <tableColumn id="7" name="Coding Hours" dataDxfId="236"/>
    <tableColumn id="8" name="Coding Due Date" dataDxfId="235"/>
    <tableColumn id="9" name="Deliver Date" dataDxfId="234"/>
    <tableColumn id="10" name="Demander" dataDxfId="233"/>
    <tableColumn id="11" name="PM" dataDxfId="232"/>
    <tableColumn id="12" name="Tester" dataDxfId="23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2"/>
  <sheetViews>
    <sheetView zoomScaleNormal="100" workbookViewId="0">
      <selection activeCell="F4" sqref="F4"/>
    </sheetView>
  </sheetViews>
  <sheetFormatPr defaultRowHeight="12.75" x14ac:dyDescent="0.2"/>
  <cols>
    <col min="1" max="1" width="9.85546875" style="1" customWidth="1"/>
    <col min="2" max="2" width="11.5703125" style="1" customWidth="1"/>
    <col min="3" max="3" width="11.140625" style="1" customWidth="1"/>
    <col min="4" max="4" width="28.140625" style="1" customWidth="1"/>
    <col min="5" max="5" width="18.42578125" style="1" customWidth="1"/>
    <col min="6" max="6" width="99.28515625" style="1" customWidth="1"/>
    <col min="7" max="7" width="13.42578125" style="1" customWidth="1"/>
    <col min="8" max="8" width="15.28515625" style="1" customWidth="1"/>
    <col min="9" max="9" width="12.42578125" style="1" customWidth="1"/>
    <col min="10" max="10" width="11.85546875" style="1" customWidth="1"/>
    <col min="11" max="11" width="12.5703125" style="1" customWidth="1"/>
    <col min="12" max="13" width="9.140625" style="1"/>
    <col min="15" max="16384" width="9.140625" style="1"/>
  </cols>
  <sheetData>
    <row r="1" spans="1:14" s="120" customFormat="1" ht="38.25" customHeight="1" x14ac:dyDescent="0.2">
      <c r="A1" s="117" t="s">
        <v>45</v>
      </c>
      <c r="B1" s="118" t="s">
        <v>46</v>
      </c>
      <c r="C1" s="119" t="s">
        <v>56</v>
      </c>
      <c r="D1" s="118" t="s">
        <v>47</v>
      </c>
      <c r="E1" s="118" t="s">
        <v>48</v>
      </c>
      <c r="F1" s="118" t="s">
        <v>43</v>
      </c>
      <c r="G1" s="118" t="s">
        <v>49</v>
      </c>
      <c r="H1" s="118" t="s">
        <v>50</v>
      </c>
      <c r="I1" s="118" t="s">
        <v>51</v>
      </c>
      <c r="J1" s="118" t="s">
        <v>52</v>
      </c>
      <c r="K1" s="118" t="s">
        <v>53</v>
      </c>
      <c r="L1" s="118" t="s">
        <v>54</v>
      </c>
      <c r="M1" s="118" t="s">
        <v>55</v>
      </c>
    </row>
    <row r="2" spans="1:14" x14ac:dyDescent="0.2">
      <c r="A2" s="121" t="s">
        <v>80</v>
      </c>
      <c r="B2" s="122" t="s">
        <v>72</v>
      </c>
      <c r="C2" s="129" t="s">
        <v>29</v>
      </c>
      <c r="D2" s="123"/>
      <c r="E2" s="154"/>
      <c r="F2" s="155"/>
      <c r="G2" s="156" t="s">
        <v>57</v>
      </c>
      <c r="H2" s="126">
        <v>48</v>
      </c>
      <c r="I2" s="127"/>
      <c r="J2" s="128"/>
      <c r="K2" s="122"/>
      <c r="L2" s="122"/>
      <c r="M2" s="129"/>
      <c r="N2" s="1"/>
    </row>
    <row r="3" spans="1:14" x14ac:dyDescent="0.2">
      <c r="A3" s="121" t="s">
        <v>81</v>
      </c>
      <c r="B3" s="122" t="s">
        <v>71</v>
      </c>
      <c r="C3" s="129" t="s">
        <v>29</v>
      </c>
      <c r="D3" s="123"/>
      <c r="E3" s="154"/>
      <c r="F3" s="155"/>
      <c r="G3" s="156" t="s">
        <v>59</v>
      </c>
      <c r="H3" s="126">
        <v>12</v>
      </c>
      <c r="I3" s="127"/>
      <c r="J3" s="128"/>
      <c r="K3" s="122"/>
      <c r="L3" s="122"/>
      <c r="M3" s="129"/>
      <c r="N3" s="1"/>
    </row>
    <row r="4" spans="1:14" x14ac:dyDescent="0.2">
      <c r="A4" s="121"/>
      <c r="B4" s="122"/>
      <c r="C4" s="129"/>
      <c r="D4" s="123"/>
      <c r="E4" s="124"/>
      <c r="F4" s="125"/>
      <c r="G4" s="48"/>
      <c r="H4" s="126"/>
      <c r="I4" s="127"/>
      <c r="J4" s="128"/>
      <c r="K4" s="122"/>
      <c r="L4" s="122"/>
      <c r="M4" s="129"/>
      <c r="N4" s="1"/>
    </row>
    <row r="5" spans="1:14" x14ac:dyDescent="0.2">
      <c r="A5" s="145"/>
      <c r="B5" s="146"/>
      <c r="C5" s="150"/>
      <c r="D5" s="146"/>
      <c r="E5" s="147"/>
      <c r="F5" s="148"/>
      <c r="G5" s="149"/>
      <c r="H5" s="151"/>
      <c r="I5" s="152"/>
      <c r="J5" s="153"/>
      <c r="K5" s="146"/>
      <c r="L5" s="146"/>
      <c r="M5" s="150"/>
      <c r="N5" s="1"/>
    </row>
    <row r="6" spans="1:14" x14ac:dyDescent="0.2">
      <c r="A6" s="121"/>
      <c r="B6" s="122"/>
      <c r="C6" s="129"/>
      <c r="D6" s="123"/>
      <c r="E6" s="124"/>
      <c r="F6" s="137"/>
      <c r="G6" s="48"/>
      <c r="H6" s="126"/>
      <c r="I6" s="127"/>
      <c r="J6" s="128"/>
      <c r="K6" s="122"/>
      <c r="L6" s="122"/>
      <c r="M6" s="129"/>
      <c r="N6" s="1"/>
    </row>
    <row r="7" spans="1:14" x14ac:dyDescent="0.2">
      <c r="A7" s="121"/>
      <c r="B7" s="122"/>
      <c r="C7" s="129"/>
      <c r="D7" s="123"/>
      <c r="E7" s="124"/>
      <c r="F7" s="130"/>
      <c r="G7" s="48"/>
      <c r="H7" s="126"/>
      <c r="I7" s="127"/>
      <c r="J7" s="128"/>
      <c r="K7" s="122"/>
      <c r="L7" s="122"/>
      <c r="M7" s="129"/>
      <c r="N7" s="1"/>
    </row>
    <row r="8" spans="1:14" x14ac:dyDescent="0.2">
      <c r="A8" s="121"/>
      <c r="B8" s="122"/>
      <c r="C8" s="129"/>
      <c r="D8" s="123"/>
      <c r="E8" s="124"/>
      <c r="F8" s="138"/>
      <c r="G8" s="48"/>
      <c r="H8" s="126"/>
      <c r="I8" s="127"/>
      <c r="J8" s="128"/>
      <c r="K8" s="122"/>
      <c r="L8" s="122"/>
      <c r="M8" s="129"/>
      <c r="N8" s="1"/>
    </row>
    <row r="9" spans="1:14" x14ac:dyDescent="0.2">
      <c r="A9" s="121"/>
      <c r="B9" s="122"/>
      <c r="C9" s="129"/>
      <c r="D9" s="123"/>
      <c r="E9" s="124"/>
      <c r="F9" s="130"/>
      <c r="G9" s="48"/>
      <c r="H9" s="126"/>
      <c r="I9" s="127"/>
      <c r="J9" s="128"/>
      <c r="K9" s="122"/>
      <c r="L9" s="122"/>
      <c r="M9" s="129"/>
      <c r="N9" s="1"/>
    </row>
    <row r="10" spans="1:14" x14ac:dyDescent="0.2">
      <c r="A10" s="121"/>
      <c r="B10" s="122"/>
      <c r="C10" s="129"/>
      <c r="D10" s="123"/>
      <c r="E10" s="124"/>
      <c r="F10" s="137"/>
      <c r="G10" s="48"/>
      <c r="H10" s="126"/>
      <c r="I10" s="127"/>
      <c r="J10" s="128"/>
      <c r="K10" s="122"/>
      <c r="L10" s="122"/>
      <c r="M10" s="129"/>
      <c r="N10" s="1"/>
    </row>
    <row r="11" spans="1:14" x14ac:dyDescent="0.2">
      <c r="A11" s="121"/>
      <c r="B11" s="122"/>
      <c r="C11" s="129"/>
      <c r="D11" s="122"/>
      <c r="E11" s="124"/>
      <c r="F11" s="130"/>
      <c r="G11" s="48"/>
      <c r="H11" s="126"/>
      <c r="I11" s="127"/>
      <c r="J11" s="128"/>
      <c r="K11" s="122"/>
      <c r="L11" s="122"/>
      <c r="M11" s="129"/>
      <c r="N11" s="1"/>
    </row>
    <row r="12" spans="1:14" x14ac:dyDescent="0.2">
      <c r="A12" s="121"/>
      <c r="B12" s="122"/>
      <c r="C12" s="129"/>
      <c r="D12" s="122"/>
      <c r="E12" s="124"/>
      <c r="F12" s="130"/>
      <c r="G12" s="48"/>
      <c r="H12" s="126"/>
      <c r="I12" s="127"/>
      <c r="J12" s="128"/>
      <c r="K12" s="122"/>
      <c r="L12" s="122"/>
      <c r="M12" s="129"/>
      <c r="N12" s="1"/>
    </row>
    <row r="13" spans="1:14" x14ac:dyDescent="0.2">
      <c r="A13" s="121"/>
      <c r="B13" s="122"/>
      <c r="C13" s="129"/>
      <c r="D13" s="122"/>
      <c r="E13" s="124"/>
      <c r="F13" s="130"/>
      <c r="G13" s="48"/>
      <c r="H13" s="126"/>
      <c r="I13" s="127"/>
      <c r="J13" s="128"/>
      <c r="K13" s="122"/>
      <c r="L13" s="122"/>
      <c r="M13" s="129"/>
      <c r="N13" s="1"/>
    </row>
    <row r="14" spans="1:14" x14ac:dyDescent="0.2">
      <c r="A14" s="121"/>
      <c r="B14" s="122"/>
      <c r="C14" s="129"/>
      <c r="D14" s="122"/>
      <c r="E14" s="124"/>
      <c r="F14" s="130"/>
      <c r="G14" s="48"/>
      <c r="H14" s="126"/>
      <c r="I14" s="127"/>
      <c r="J14" s="128"/>
      <c r="K14" s="122"/>
      <c r="L14" s="122"/>
      <c r="M14" s="129"/>
      <c r="N14" s="1"/>
    </row>
    <row r="15" spans="1:14" x14ac:dyDescent="0.2">
      <c r="A15" s="121"/>
      <c r="B15" s="122"/>
      <c r="C15" s="129"/>
      <c r="D15" s="122"/>
      <c r="E15" s="124"/>
      <c r="F15" s="130"/>
      <c r="G15" s="48"/>
      <c r="H15" s="126"/>
      <c r="I15" s="127"/>
      <c r="J15" s="128"/>
      <c r="K15" s="122"/>
      <c r="L15" s="122"/>
      <c r="M15" s="129"/>
      <c r="N15" s="1"/>
    </row>
    <row r="16" spans="1:14" x14ac:dyDescent="0.2">
      <c r="A16" s="121"/>
      <c r="B16" s="122"/>
      <c r="C16" s="129"/>
      <c r="D16" s="122"/>
      <c r="E16" s="124"/>
      <c r="F16" s="130"/>
      <c r="G16" s="48"/>
      <c r="H16" s="126"/>
      <c r="I16" s="127"/>
      <c r="J16" s="128"/>
      <c r="K16" s="122"/>
      <c r="L16" s="122"/>
      <c r="M16" s="129"/>
      <c r="N16" s="1"/>
    </row>
    <row r="17" spans="1:14" x14ac:dyDescent="0.2">
      <c r="A17" s="121"/>
      <c r="B17" s="122"/>
      <c r="C17" s="129"/>
      <c r="D17" s="122"/>
      <c r="E17" s="124"/>
      <c r="F17" s="130"/>
      <c r="G17" s="48"/>
      <c r="H17" s="126"/>
      <c r="I17" s="127"/>
      <c r="J17" s="128"/>
      <c r="K17" s="122"/>
      <c r="L17" s="122"/>
      <c r="M17" s="129"/>
      <c r="N17" s="1"/>
    </row>
    <row r="18" spans="1:14" x14ac:dyDescent="0.2">
      <c r="A18" s="121"/>
      <c r="B18" s="122"/>
      <c r="C18" s="129"/>
      <c r="D18" s="122"/>
      <c r="E18" s="124"/>
      <c r="F18" s="130"/>
      <c r="G18" s="48"/>
      <c r="H18" s="126"/>
      <c r="I18" s="127"/>
      <c r="J18" s="128"/>
      <c r="K18" s="122"/>
      <c r="L18" s="122"/>
      <c r="M18" s="129"/>
      <c r="N18" s="1"/>
    </row>
    <row r="19" spans="1:14" x14ac:dyDescent="0.2">
      <c r="A19" s="121"/>
      <c r="B19" s="122"/>
      <c r="C19" s="129"/>
      <c r="D19" s="122"/>
      <c r="E19" s="124"/>
      <c r="F19" s="130"/>
      <c r="G19" s="48"/>
      <c r="H19" s="126"/>
      <c r="I19" s="127"/>
      <c r="J19" s="128"/>
      <c r="K19" s="122"/>
      <c r="L19" s="122"/>
      <c r="M19" s="129"/>
      <c r="N19" s="1"/>
    </row>
    <row r="20" spans="1:14" x14ac:dyDescent="0.2">
      <c r="A20" s="121"/>
      <c r="B20" s="122"/>
      <c r="C20" s="129"/>
      <c r="D20" s="122"/>
      <c r="E20" s="124"/>
      <c r="F20" s="130"/>
      <c r="G20" s="48"/>
      <c r="H20" s="126"/>
      <c r="I20" s="127"/>
      <c r="J20" s="128"/>
      <c r="K20" s="122"/>
      <c r="L20" s="122"/>
      <c r="M20" s="129"/>
      <c r="N20" s="1"/>
    </row>
    <row r="21" spans="1:14" x14ac:dyDescent="0.2">
      <c r="A21" s="121"/>
      <c r="B21" s="122"/>
      <c r="C21" s="129"/>
      <c r="D21" s="122"/>
      <c r="E21" s="124"/>
      <c r="F21" s="130"/>
      <c r="G21" s="48"/>
      <c r="H21" s="126"/>
      <c r="I21" s="127"/>
      <c r="J21" s="128"/>
      <c r="K21" s="122"/>
      <c r="L21" s="122"/>
      <c r="M21" s="129"/>
      <c r="N21" s="1"/>
    </row>
    <row r="22" spans="1:14" x14ac:dyDescent="0.2">
      <c r="A22" s="121"/>
      <c r="B22" s="122"/>
      <c r="C22" s="129"/>
      <c r="D22" s="122"/>
      <c r="E22" s="124"/>
      <c r="F22" s="130"/>
      <c r="G22" s="48"/>
      <c r="H22" s="126"/>
      <c r="I22" s="127"/>
      <c r="J22" s="128"/>
      <c r="K22" s="122"/>
      <c r="L22" s="122"/>
      <c r="M22" s="129"/>
      <c r="N22" s="1"/>
    </row>
    <row r="23" spans="1:14" x14ac:dyDescent="0.2">
      <c r="A23" s="121"/>
      <c r="B23" s="122"/>
      <c r="C23" s="129"/>
      <c r="D23" s="122"/>
      <c r="E23" s="124"/>
      <c r="F23" s="130"/>
      <c r="G23" s="48"/>
      <c r="H23" s="126"/>
      <c r="I23" s="127"/>
      <c r="J23" s="128"/>
      <c r="K23" s="122"/>
      <c r="L23" s="122"/>
      <c r="M23" s="129"/>
      <c r="N23" s="1"/>
    </row>
    <row r="24" spans="1:14" x14ac:dyDescent="0.2">
      <c r="A24" s="121"/>
      <c r="B24" s="122"/>
      <c r="C24" s="129"/>
      <c r="D24" s="122"/>
      <c r="E24" s="124"/>
      <c r="F24" s="130"/>
      <c r="G24" s="48"/>
      <c r="H24" s="126"/>
      <c r="I24" s="127"/>
      <c r="J24" s="128"/>
      <c r="K24" s="122"/>
      <c r="L24" s="122"/>
      <c r="M24" s="129"/>
      <c r="N24" s="1"/>
    </row>
    <row r="25" spans="1:14" x14ac:dyDescent="0.2">
      <c r="A25" s="121"/>
      <c r="B25" s="122"/>
      <c r="C25" s="129"/>
      <c r="D25" s="122"/>
      <c r="E25" s="124"/>
      <c r="F25" s="130"/>
      <c r="G25" s="48"/>
      <c r="H25" s="126"/>
      <c r="I25" s="127"/>
      <c r="J25" s="128"/>
      <c r="K25" s="122"/>
      <c r="L25" s="122"/>
      <c r="M25" s="129"/>
      <c r="N25" s="1"/>
    </row>
    <row r="26" spans="1:14" x14ac:dyDescent="0.2">
      <c r="A26" s="121"/>
      <c r="B26" s="122"/>
      <c r="C26" s="129"/>
      <c r="D26" s="122"/>
      <c r="E26" s="124"/>
      <c r="F26" s="130"/>
      <c r="G26" s="48"/>
      <c r="H26" s="126"/>
      <c r="I26" s="127"/>
      <c r="J26" s="128"/>
      <c r="K26" s="122"/>
      <c r="L26" s="122"/>
      <c r="M26" s="129"/>
      <c r="N26" s="1"/>
    </row>
    <row r="27" spans="1:14" x14ac:dyDescent="0.2">
      <c r="A27" s="121"/>
      <c r="B27" s="122"/>
      <c r="C27" s="129"/>
      <c r="D27" s="122"/>
      <c r="E27" s="124"/>
      <c r="F27" s="130"/>
      <c r="G27" s="48"/>
      <c r="H27" s="126"/>
      <c r="I27" s="127"/>
      <c r="J27" s="128"/>
      <c r="K27" s="122"/>
      <c r="L27" s="122"/>
      <c r="M27" s="129"/>
      <c r="N27" s="1"/>
    </row>
    <row r="28" spans="1:14" x14ac:dyDescent="0.2">
      <c r="A28" s="121"/>
      <c r="B28" s="122"/>
      <c r="C28" s="129"/>
      <c r="D28" s="122"/>
      <c r="E28" s="124"/>
      <c r="F28" s="130"/>
      <c r="G28" s="48"/>
      <c r="H28" s="126"/>
      <c r="I28" s="127"/>
      <c r="J28" s="128"/>
      <c r="K28" s="122"/>
      <c r="L28" s="122"/>
      <c r="M28" s="129"/>
      <c r="N28" s="1"/>
    </row>
    <row r="29" spans="1:14" x14ac:dyDescent="0.2">
      <c r="A29" s="121"/>
      <c r="B29" s="122"/>
      <c r="C29" s="129"/>
      <c r="D29" s="122"/>
      <c r="E29" s="124"/>
      <c r="F29" s="130"/>
      <c r="G29" s="48"/>
      <c r="H29" s="126"/>
      <c r="I29" s="127"/>
      <c r="J29" s="128"/>
      <c r="K29" s="122"/>
      <c r="L29" s="122"/>
      <c r="M29" s="129"/>
      <c r="N29" s="1"/>
    </row>
    <row r="30" spans="1:14" x14ac:dyDescent="0.2">
      <c r="A30" s="121"/>
      <c r="B30" s="122"/>
      <c r="C30" s="129"/>
      <c r="D30" s="122"/>
      <c r="E30" s="124"/>
      <c r="F30" s="130"/>
      <c r="G30" s="48"/>
      <c r="H30" s="126"/>
      <c r="I30" s="127"/>
      <c r="J30" s="128"/>
      <c r="K30" s="122"/>
      <c r="L30" s="122"/>
      <c r="M30" s="129"/>
      <c r="N30" s="1"/>
    </row>
    <row r="31" spans="1:14" x14ac:dyDescent="0.2">
      <c r="A31" s="121"/>
      <c r="B31" s="122"/>
      <c r="C31" s="129"/>
      <c r="D31" s="122"/>
      <c r="E31" s="124"/>
      <c r="F31" s="130"/>
      <c r="G31" s="48"/>
      <c r="H31" s="126"/>
      <c r="I31" s="127"/>
      <c r="J31" s="128"/>
      <c r="K31" s="122"/>
      <c r="L31" s="122"/>
      <c r="M31" s="129"/>
      <c r="N31" s="1"/>
    </row>
    <row r="32" spans="1:14" x14ac:dyDescent="0.2">
      <c r="A32" s="121"/>
      <c r="B32" s="122"/>
      <c r="C32" s="129"/>
      <c r="D32" s="123"/>
      <c r="E32" s="124"/>
      <c r="F32" s="130"/>
      <c r="G32" s="48"/>
      <c r="H32" s="126"/>
      <c r="I32" s="127"/>
      <c r="J32" s="128"/>
      <c r="K32" s="122"/>
      <c r="L32" s="122"/>
      <c r="M32" s="129"/>
      <c r="N32" s="1"/>
    </row>
    <row r="33" spans="1:14" x14ac:dyDescent="0.2">
      <c r="A33" s="121"/>
      <c r="B33" s="122"/>
      <c r="C33" s="129"/>
      <c r="D33" s="122"/>
      <c r="E33" s="124"/>
      <c r="F33" s="130"/>
      <c r="G33" s="48"/>
      <c r="H33" s="126"/>
      <c r="I33" s="127"/>
      <c r="J33" s="128"/>
      <c r="K33" s="122"/>
      <c r="L33" s="122"/>
      <c r="M33" s="129"/>
      <c r="N33" s="1"/>
    </row>
    <row r="34" spans="1:14" x14ac:dyDescent="0.2">
      <c r="A34" s="121"/>
      <c r="B34" s="122"/>
      <c r="C34" s="129"/>
      <c r="D34" s="122"/>
      <c r="E34" s="124"/>
      <c r="F34" s="130"/>
      <c r="G34" s="48"/>
      <c r="H34" s="126"/>
      <c r="I34" s="127"/>
      <c r="J34" s="128"/>
      <c r="K34" s="122"/>
      <c r="L34" s="122"/>
      <c r="M34" s="129"/>
      <c r="N34" s="1"/>
    </row>
    <row r="35" spans="1:14" x14ac:dyDescent="0.2">
      <c r="A35" s="121"/>
      <c r="B35" s="122"/>
      <c r="C35" s="129"/>
      <c r="D35" s="122"/>
      <c r="E35" s="124"/>
      <c r="F35" s="130"/>
      <c r="G35" s="48"/>
      <c r="H35" s="126"/>
      <c r="I35" s="127"/>
      <c r="J35" s="128"/>
      <c r="K35" s="122"/>
      <c r="L35" s="122"/>
      <c r="M35" s="129"/>
      <c r="N35" s="1"/>
    </row>
    <row r="36" spans="1:14" x14ac:dyDescent="0.2">
      <c r="A36" s="121"/>
      <c r="B36" s="122"/>
      <c r="C36" s="129"/>
      <c r="D36" s="122"/>
      <c r="E36" s="124"/>
      <c r="F36" s="130"/>
      <c r="G36" s="48"/>
      <c r="H36" s="126"/>
      <c r="I36" s="127"/>
      <c r="J36" s="128"/>
      <c r="K36" s="122"/>
      <c r="L36" s="122"/>
      <c r="M36" s="129"/>
      <c r="N36" s="1"/>
    </row>
    <row r="37" spans="1:14" x14ac:dyDescent="0.2">
      <c r="A37" s="121"/>
      <c r="B37" s="122"/>
      <c r="C37" s="129"/>
      <c r="D37" s="122"/>
      <c r="E37" s="124"/>
      <c r="F37" s="130"/>
      <c r="G37" s="48"/>
      <c r="H37" s="126"/>
      <c r="I37" s="127"/>
      <c r="J37" s="128"/>
      <c r="K37" s="122"/>
      <c r="L37" s="122"/>
      <c r="M37" s="129"/>
      <c r="N37" s="1"/>
    </row>
    <row r="38" spans="1:14" x14ac:dyDescent="0.2">
      <c r="A38" s="121"/>
      <c r="B38" s="122"/>
      <c r="C38" s="129"/>
      <c r="D38" s="122"/>
      <c r="E38" s="124"/>
      <c r="F38" s="130"/>
      <c r="G38" s="48"/>
      <c r="H38" s="126"/>
      <c r="I38" s="127"/>
      <c r="J38" s="128"/>
      <c r="K38" s="122"/>
      <c r="L38" s="122"/>
      <c r="M38" s="129"/>
      <c r="N38" s="1"/>
    </row>
    <row r="39" spans="1:14" x14ac:dyDescent="0.2">
      <c r="A39" s="121"/>
      <c r="B39" s="122"/>
      <c r="C39" s="129"/>
      <c r="D39" s="122"/>
      <c r="E39" s="124"/>
      <c r="F39" s="130"/>
      <c r="G39" s="48"/>
      <c r="H39" s="126"/>
      <c r="I39" s="127"/>
      <c r="J39" s="128"/>
      <c r="K39" s="122"/>
      <c r="L39" s="122"/>
      <c r="M39" s="129"/>
      <c r="N39" s="1"/>
    </row>
    <row r="40" spans="1:14" x14ac:dyDescent="0.2">
      <c r="A40" s="121"/>
      <c r="B40" s="122"/>
      <c r="C40" s="129"/>
      <c r="D40" s="122"/>
      <c r="E40" s="124"/>
      <c r="F40" s="130"/>
      <c r="G40" s="48"/>
      <c r="H40" s="126"/>
      <c r="I40" s="127"/>
      <c r="J40" s="128"/>
      <c r="K40" s="122"/>
      <c r="L40" s="122"/>
      <c r="M40" s="129"/>
      <c r="N40" s="1"/>
    </row>
    <row r="41" spans="1:14" x14ac:dyDescent="0.2">
      <c r="A41" s="121"/>
      <c r="B41" s="122"/>
      <c r="C41" s="129"/>
      <c r="D41" s="122"/>
      <c r="E41" s="124"/>
      <c r="F41" s="130"/>
      <c r="G41" s="48"/>
      <c r="H41" s="126"/>
      <c r="I41" s="127"/>
      <c r="J41" s="128"/>
      <c r="K41" s="122"/>
      <c r="L41" s="122"/>
      <c r="M41" s="129"/>
      <c r="N41" s="1"/>
    </row>
    <row r="42" spans="1:14" x14ac:dyDescent="0.2">
      <c r="A42" s="121"/>
      <c r="B42" s="122"/>
      <c r="C42" s="129"/>
      <c r="D42" s="122"/>
      <c r="E42" s="124"/>
      <c r="F42" s="130"/>
      <c r="G42" s="48"/>
      <c r="H42" s="126"/>
      <c r="I42" s="127"/>
      <c r="J42" s="128"/>
      <c r="K42" s="122"/>
      <c r="L42" s="122"/>
      <c r="M42" s="129"/>
      <c r="N42" s="1"/>
    </row>
    <row r="43" spans="1:14" x14ac:dyDescent="0.2">
      <c r="A43" s="121"/>
      <c r="B43" s="122"/>
      <c r="C43" s="129"/>
      <c r="D43" s="122"/>
      <c r="E43" s="124"/>
      <c r="F43" s="130"/>
      <c r="G43" s="48"/>
      <c r="H43" s="126"/>
      <c r="I43" s="127"/>
      <c r="J43" s="128"/>
      <c r="K43" s="122"/>
      <c r="L43" s="122"/>
      <c r="M43" s="129"/>
      <c r="N43" s="1"/>
    </row>
    <row r="44" spans="1:14" x14ac:dyDescent="0.2">
      <c r="A44" s="121"/>
      <c r="B44" s="122"/>
      <c r="C44" s="129"/>
      <c r="D44" s="122"/>
      <c r="E44" s="124"/>
      <c r="F44" s="130"/>
      <c r="G44" s="48"/>
      <c r="H44" s="126"/>
      <c r="I44" s="127"/>
      <c r="J44" s="128"/>
      <c r="K44" s="122"/>
      <c r="L44" s="122"/>
      <c r="M44" s="129"/>
      <c r="N44" s="1"/>
    </row>
    <row r="45" spans="1:14" x14ac:dyDescent="0.2">
      <c r="A45" s="121"/>
      <c r="B45" s="122"/>
      <c r="C45" s="129"/>
      <c r="D45" s="122"/>
      <c r="E45" s="124"/>
      <c r="F45" s="130"/>
      <c r="G45" s="48"/>
      <c r="H45" s="126"/>
      <c r="I45" s="127"/>
      <c r="J45" s="128"/>
      <c r="K45" s="122"/>
      <c r="L45" s="122"/>
      <c r="M45" s="129"/>
      <c r="N45" s="1"/>
    </row>
    <row r="46" spans="1:14" x14ac:dyDescent="0.2">
      <c r="A46" s="121"/>
      <c r="B46" s="122"/>
      <c r="C46" s="129"/>
      <c r="D46" s="122"/>
      <c r="E46" s="124"/>
      <c r="F46" s="130"/>
      <c r="G46" s="48"/>
      <c r="H46" s="126"/>
      <c r="I46" s="127"/>
      <c r="J46" s="128"/>
      <c r="K46" s="122"/>
      <c r="L46" s="122"/>
      <c r="M46" s="129"/>
      <c r="N46" s="1"/>
    </row>
    <row r="47" spans="1:14" x14ac:dyDescent="0.2">
      <c r="A47" s="121"/>
      <c r="B47" s="122"/>
      <c r="C47" s="129"/>
      <c r="D47" s="122"/>
      <c r="E47" s="124"/>
      <c r="F47" s="130"/>
      <c r="G47" s="48"/>
      <c r="H47" s="126"/>
      <c r="I47" s="127"/>
      <c r="J47" s="128"/>
      <c r="K47" s="122"/>
      <c r="L47" s="122"/>
      <c r="M47" s="129"/>
      <c r="N47" s="1"/>
    </row>
    <row r="48" spans="1:14" x14ac:dyDescent="0.2">
      <c r="A48" s="121"/>
      <c r="B48" s="122"/>
      <c r="C48" s="129"/>
      <c r="D48" s="122"/>
      <c r="E48" s="124"/>
      <c r="F48" s="130"/>
      <c r="G48" s="48"/>
      <c r="H48" s="126"/>
      <c r="I48" s="127"/>
      <c r="J48" s="128"/>
      <c r="K48" s="122"/>
      <c r="L48" s="122"/>
      <c r="M48" s="129"/>
      <c r="N48" s="1"/>
    </row>
    <row r="49" spans="1:14" x14ac:dyDescent="0.2">
      <c r="A49" s="121"/>
      <c r="B49" s="122"/>
      <c r="C49" s="129"/>
      <c r="D49" s="122"/>
      <c r="E49" s="124"/>
      <c r="F49" s="130"/>
      <c r="G49" s="48"/>
      <c r="H49" s="126"/>
      <c r="I49" s="127"/>
      <c r="J49" s="128"/>
      <c r="K49" s="122"/>
      <c r="L49" s="122"/>
      <c r="M49" s="129"/>
      <c r="N49" s="1"/>
    </row>
    <row r="50" spans="1:14" x14ac:dyDescent="0.2">
      <c r="A50" s="121"/>
      <c r="B50" s="122"/>
      <c r="C50" s="129"/>
      <c r="D50" s="122"/>
      <c r="E50" s="124"/>
      <c r="F50" s="130"/>
      <c r="G50" s="48"/>
      <c r="H50" s="126"/>
      <c r="I50" s="127"/>
      <c r="J50" s="128"/>
      <c r="K50" s="122"/>
      <c r="L50" s="122"/>
      <c r="M50" s="129"/>
      <c r="N50" s="1"/>
    </row>
    <row r="51" spans="1:14" x14ac:dyDescent="0.2">
      <c r="A51" s="121"/>
      <c r="B51" s="122"/>
      <c r="C51" s="129"/>
      <c r="D51" s="122"/>
      <c r="E51" s="124"/>
      <c r="F51" s="130"/>
      <c r="G51" s="48"/>
      <c r="H51" s="126"/>
      <c r="I51" s="127"/>
      <c r="J51" s="128"/>
      <c r="K51" s="122"/>
      <c r="L51" s="122"/>
      <c r="M51" s="129"/>
      <c r="N51" s="1"/>
    </row>
    <row r="52" spans="1:14" x14ac:dyDescent="0.2">
      <c r="A52" s="121"/>
      <c r="B52" s="122"/>
      <c r="C52" s="129"/>
      <c r="D52" s="122"/>
      <c r="E52" s="124"/>
      <c r="F52" s="130"/>
      <c r="G52" s="48"/>
      <c r="H52" s="126"/>
      <c r="I52" s="127"/>
      <c r="J52" s="128"/>
      <c r="K52" s="122"/>
      <c r="L52" s="122"/>
      <c r="M52" s="129"/>
      <c r="N52" s="1"/>
    </row>
    <row r="53" spans="1:14" x14ac:dyDescent="0.2">
      <c r="A53" s="121"/>
      <c r="B53" s="122"/>
      <c r="C53" s="129"/>
      <c r="D53" s="122"/>
      <c r="E53" s="124"/>
      <c r="F53" s="130"/>
      <c r="G53" s="48"/>
      <c r="H53" s="126"/>
      <c r="I53" s="127"/>
      <c r="J53" s="128"/>
      <c r="K53" s="122"/>
      <c r="L53" s="122"/>
      <c r="M53" s="129"/>
      <c r="N53" s="1"/>
    </row>
    <row r="54" spans="1:14" x14ac:dyDescent="0.2">
      <c r="A54" s="121"/>
      <c r="B54" s="122"/>
      <c r="C54" s="129"/>
      <c r="D54" s="122"/>
      <c r="E54" s="124"/>
      <c r="F54" s="130"/>
      <c r="G54" s="48"/>
      <c r="H54" s="126"/>
      <c r="I54" s="127"/>
      <c r="J54" s="128"/>
      <c r="K54" s="122"/>
      <c r="L54" s="122"/>
      <c r="M54" s="129"/>
      <c r="N54" s="1"/>
    </row>
    <row r="55" spans="1:14" x14ac:dyDescent="0.2">
      <c r="A55" s="121"/>
      <c r="B55" s="122"/>
      <c r="C55" s="129"/>
      <c r="D55" s="122"/>
      <c r="E55" s="124"/>
      <c r="F55" s="130"/>
      <c r="G55" s="48"/>
      <c r="H55" s="126"/>
      <c r="I55" s="127"/>
      <c r="J55" s="128"/>
      <c r="K55" s="122"/>
      <c r="L55" s="122"/>
      <c r="M55" s="129"/>
      <c r="N55" s="1"/>
    </row>
    <row r="56" spans="1:14" x14ac:dyDescent="0.2">
      <c r="A56" s="121"/>
      <c r="B56" s="122"/>
      <c r="C56" s="129"/>
      <c r="D56" s="122"/>
      <c r="E56" s="124"/>
      <c r="F56" s="130"/>
      <c r="G56" s="48"/>
      <c r="H56" s="126"/>
      <c r="I56" s="127"/>
      <c r="J56" s="128"/>
      <c r="K56" s="122"/>
      <c r="L56" s="122"/>
      <c r="M56" s="129"/>
      <c r="N56" s="1"/>
    </row>
    <row r="57" spans="1:14" x14ac:dyDescent="0.2">
      <c r="A57" s="121"/>
      <c r="B57" s="122"/>
      <c r="C57" s="129"/>
      <c r="D57" s="122"/>
      <c r="E57" s="124"/>
      <c r="F57" s="130"/>
      <c r="G57" s="48"/>
      <c r="H57" s="126"/>
      <c r="I57" s="127"/>
      <c r="J57" s="128"/>
      <c r="K57" s="122"/>
      <c r="L57" s="122"/>
      <c r="M57" s="129"/>
      <c r="N57" s="1"/>
    </row>
    <row r="58" spans="1:14" x14ac:dyDescent="0.2">
      <c r="A58" s="121"/>
      <c r="B58" s="122"/>
      <c r="C58" s="129"/>
      <c r="D58" s="122"/>
      <c r="E58" s="124"/>
      <c r="F58" s="130"/>
      <c r="G58" s="48"/>
      <c r="H58" s="126"/>
      <c r="I58" s="127"/>
      <c r="J58" s="128"/>
      <c r="K58" s="122"/>
      <c r="L58" s="122"/>
      <c r="M58" s="129"/>
      <c r="N58" s="1"/>
    </row>
    <row r="59" spans="1:14" x14ac:dyDescent="0.2">
      <c r="A59" s="121"/>
      <c r="B59" s="122"/>
      <c r="C59" s="129"/>
      <c r="D59" s="122"/>
      <c r="E59" s="124"/>
      <c r="F59" s="130"/>
      <c r="G59" s="48"/>
      <c r="H59" s="126"/>
      <c r="I59" s="127"/>
      <c r="J59" s="128"/>
      <c r="K59" s="122"/>
      <c r="L59" s="122"/>
      <c r="M59" s="129"/>
      <c r="N59" s="1"/>
    </row>
    <row r="60" spans="1:14" x14ac:dyDescent="0.2">
      <c r="A60" s="121"/>
      <c r="B60" s="122"/>
      <c r="C60" s="129"/>
      <c r="D60" s="122"/>
      <c r="E60" s="124"/>
      <c r="F60" s="130"/>
      <c r="G60" s="48"/>
      <c r="H60" s="126"/>
      <c r="I60" s="127"/>
      <c r="J60" s="128"/>
      <c r="K60" s="122"/>
      <c r="L60" s="122"/>
      <c r="M60" s="129"/>
      <c r="N60" s="1"/>
    </row>
    <row r="61" spans="1:14" x14ac:dyDescent="0.2">
      <c r="A61" s="121"/>
      <c r="B61" s="122"/>
      <c r="C61" s="129"/>
      <c r="D61" s="122"/>
      <c r="E61" s="124"/>
      <c r="F61" s="130"/>
      <c r="G61" s="48"/>
      <c r="H61" s="126"/>
      <c r="I61" s="127"/>
      <c r="J61" s="128"/>
      <c r="K61" s="122"/>
      <c r="L61" s="122"/>
      <c r="M61" s="129"/>
      <c r="N61" s="1"/>
    </row>
    <row r="62" spans="1:14" x14ac:dyDescent="0.2">
      <c r="A62" s="121"/>
      <c r="B62" s="122"/>
      <c r="C62" s="129"/>
      <c r="D62" s="122"/>
      <c r="E62" s="124"/>
      <c r="F62" s="130"/>
      <c r="G62" s="48"/>
      <c r="H62" s="126"/>
      <c r="I62" s="127"/>
      <c r="J62" s="128"/>
      <c r="K62" s="122"/>
      <c r="L62" s="122"/>
      <c r="M62" s="129"/>
      <c r="N62" s="1"/>
    </row>
    <row r="63" spans="1:14" x14ac:dyDescent="0.2">
      <c r="A63" s="121"/>
      <c r="B63" s="122"/>
      <c r="C63" s="129"/>
      <c r="D63" s="122"/>
      <c r="E63" s="124"/>
      <c r="F63" s="130"/>
      <c r="G63" s="48"/>
      <c r="H63" s="126"/>
      <c r="I63" s="127"/>
      <c r="J63" s="128"/>
      <c r="K63" s="122"/>
      <c r="L63" s="122"/>
      <c r="M63" s="129"/>
      <c r="N63" s="1"/>
    </row>
    <row r="64" spans="1:14" x14ac:dyDescent="0.2">
      <c r="A64" s="121"/>
      <c r="B64" s="122"/>
      <c r="C64" s="129"/>
      <c r="D64" s="122"/>
      <c r="E64" s="124"/>
      <c r="F64" s="130"/>
      <c r="G64" s="48"/>
      <c r="H64" s="126"/>
      <c r="I64" s="127"/>
      <c r="J64" s="128"/>
      <c r="K64" s="122"/>
      <c r="L64" s="122"/>
      <c r="M64" s="129"/>
      <c r="N64" s="1"/>
    </row>
    <row r="65" spans="1:14" x14ac:dyDescent="0.2">
      <c r="A65" s="121"/>
      <c r="B65" s="122"/>
      <c r="C65" s="129"/>
      <c r="D65" s="122"/>
      <c r="E65" s="124"/>
      <c r="F65" s="130"/>
      <c r="G65" s="48"/>
      <c r="H65" s="126"/>
      <c r="I65" s="127"/>
      <c r="J65" s="128"/>
      <c r="K65" s="122"/>
      <c r="L65" s="122"/>
      <c r="M65" s="129"/>
      <c r="N65" s="1"/>
    </row>
    <row r="66" spans="1:14" x14ac:dyDescent="0.2">
      <c r="A66" s="121"/>
      <c r="B66" s="122"/>
      <c r="C66" s="129"/>
      <c r="D66" s="122"/>
      <c r="E66" s="124"/>
      <c r="F66" s="130"/>
      <c r="G66" s="48"/>
      <c r="H66" s="126"/>
      <c r="I66" s="127"/>
      <c r="J66" s="128"/>
      <c r="K66" s="122"/>
      <c r="L66" s="122"/>
      <c r="M66" s="129"/>
      <c r="N66" s="1"/>
    </row>
    <row r="67" spans="1:14" x14ac:dyDescent="0.2">
      <c r="A67" s="121"/>
      <c r="B67" s="122"/>
      <c r="C67" s="129"/>
      <c r="D67" s="122"/>
      <c r="E67" s="124"/>
      <c r="F67" s="130"/>
      <c r="G67" s="48"/>
      <c r="H67" s="126"/>
      <c r="I67" s="127"/>
      <c r="J67" s="128"/>
      <c r="K67" s="122"/>
      <c r="L67" s="122"/>
      <c r="M67" s="129"/>
      <c r="N67" s="1"/>
    </row>
    <row r="68" spans="1:14" x14ac:dyDescent="0.2">
      <c r="A68" s="121"/>
      <c r="B68" s="122"/>
      <c r="C68" s="129"/>
      <c r="D68" s="122"/>
      <c r="E68" s="124"/>
      <c r="F68" s="130"/>
      <c r="G68" s="48"/>
      <c r="H68" s="126"/>
      <c r="I68" s="127"/>
      <c r="J68" s="128"/>
      <c r="K68" s="122"/>
      <c r="L68" s="122"/>
      <c r="M68" s="129"/>
      <c r="N68" s="1"/>
    </row>
    <row r="69" spans="1:14" ht="12.75" customHeight="1" x14ac:dyDescent="0.2">
      <c r="A69" s="121"/>
      <c r="B69" s="122"/>
      <c r="C69" s="129"/>
      <c r="D69" s="122"/>
      <c r="E69" s="131"/>
      <c r="F69" s="132"/>
      <c r="G69" s="60"/>
      <c r="H69" s="126"/>
      <c r="I69" s="127"/>
      <c r="J69" s="128"/>
      <c r="K69" s="122"/>
      <c r="L69" s="122"/>
      <c r="M69" s="129"/>
      <c r="N69" s="1"/>
    </row>
    <row r="70" spans="1:14" s="136" customFormat="1" ht="14.25" x14ac:dyDescent="0.2">
      <c r="A70" s="133" t="s">
        <v>44</v>
      </c>
      <c r="B70" s="134"/>
      <c r="C70" s="135"/>
      <c r="D70" s="134"/>
      <c r="E70" s="134"/>
      <c r="F70" s="134"/>
      <c r="G70" s="134"/>
      <c r="H70" s="134">
        <f>SUBTOTAL(109,H4:H69)</f>
        <v>0</v>
      </c>
      <c r="I70" s="134"/>
      <c r="J70" s="134"/>
      <c r="K70" s="134"/>
      <c r="L70" s="134"/>
      <c r="M70" s="134"/>
    </row>
    <row r="71" spans="1:14" x14ac:dyDescent="0.2">
      <c r="A71" s="3"/>
      <c r="B71" s="3"/>
      <c r="D71" s="3"/>
      <c r="E71" s="3"/>
      <c r="F71" s="3"/>
      <c r="G71" s="3"/>
      <c r="I71" s="3"/>
      <c r="J71" s="3"/>
      <c r="N71" s="1"/>
    </row>
    <row r="72" spans="1:14" x14ac:dyDescent="0.2">
      <c r="A72" s="3"/>
      <c r="B72" s="3"/>
      <c r="D72" s="3"/>
      <c r="E72" s="3"/>
      <c r="F72" s="3"/>
      <c r="G72" s="3"/>
      <c r="I72" s="3"/>
      <c r="J72" s="3"/>
      <c r="N72" s="1"/>
    </row>
  </sheetData>
  <phoneticPr fontId="1" type="noConversion"/>
  <conditionalFormatting sqref="A11:B34 A36:B69 H2:I69 D36:F69 D11:F34">
    <cfRule type="expression" dxfId="294" priority="73" stopIfTrue="1">
      <formula>MOD(ROW(),2)</formula>
    </cfRule>
  </conditionalFormatting>
  <conditionalFormatting sqref="A35:B35 D35:F35">
    <cfRule type="expression" dxfId="293" priority="55" stopIfTrue="1">
      <formula>MOD(ROW(),2)</formula>
    </cfRule>
  </conditionalFormatting>
  <conditionalFormatting sqref="A10:B10 D10:F10">
    <cfRule type="expression" dxfId="292" priority="54" stopIfTrue="1">
      <formula>MOD(ROW(),2)</formula>
    </cfRule>
  </conditionalFormatting>
  <conditionalFormatting sqref="C11:C34 C36:C69">
    <cfRule type="expression" dxfId="291" priority="50" stopIfTrue="1">
      <formula>MOD(ROW(),2)</formula>
    </cfRule>
  </conditionalFormatting>
  <conditionalFormatting sqref="C35">
    <cfRule type="expression" dxfId="290" priority="49" stopIfTrue="1">
      <formula>MOD(ROW(),2)</formula>
    </cfRule>
  </conditionalFormatting>
  <conditionalFormatting sqref="C10">
    <cfRule type="expression" dxfId="289" priority="48" stopIfTrue="1">
      <formula>MOD(ROW(),2)</formula>
    </cfRule>
  </conditionalFormatting>
  <conditionalFormatting sqref="E8:F8">
    <cfRule type="expression" dxfId="288" priority="47" stopIfTrue="1">
      <formula>MOD(ROW(),2)</formula>
    </cfRule>
  </conditionalFormatting>
  <conditionalFormatting sqref="C8">
    <cfRule type="expression" dxfId="287" priority="45" stopIfTrue="1">
      <formula>MOD(ROW(),2)</formula>
    </cfRule>
  </conditionalFormatting>
  <conditionalFormatting sqref="A6:B6 D6:F6">
    <cfRule type="expression" dxfId="286" priority="44" stopIfTrue="1">
      <formula>MOD(ROW(),2)</formula>
    </cfRule>
  </conditionalFormatting>
  <conditionalFormatting sqref="C6">
    <cfRule type="expression" dxfId="285" priority="42" stopIfTrue="1">
      <formula>MOD(ROW(),2)</formula>
    </cfRule>
  </conditionalFormatting>
  <conditionalFormatting sqref="K11:K34 K36:K69">
    <cfRule type="expression" dxfId="284" priority="41" stopIfTrue="1">
      <formula>MOD(ROW(),2)</formula>
    </cfRule>
  </conditionalFormatting>
  <conditionalFormatting sqref="K35">
    <cfRule type="expression" dxfId="283" priority="40" stopIfTrue="1">
      <formula>MOD(ROW(),2)</formula>
    </cfRule>
  </conditionalFormatting>
  <conditionalFormatting sqref="K10">
    <cfRule type="expression" dxfId="282" priority="39" stopIfTrue="1">
      <formula>MOD(ROW(),2)</formula>
    </cfRule>
  </conditionalFormatting>
  <conditionalFormatting sqref="K8">
    <cfRule type="expression" dxfId="281" priority="38" stopIfTrue="1">
      <formula>MOD(ROW(),2)</formula>
    </cfRule>
  </conditionalFormatting>
  <conditionalFormatting sqref="K6">
    <cfRule type="expression" dxfId="280" priority="37" stopIfTrue="1">
      <formula>MOD(ROW(),2)</formula>
    </cfRule>
  </conditionalFormatting>
  <conditionalFormatting sqref="L11:L34 L36:L69">
    <cfRule type="expression" dxfId="279" priority="36" stopIfTrue="1">
      <formula>MOD(ROW(),2)</formula>
    </cfRule>
  </conditionalFormatting>
  <conditionalFormatting sqref="L35">
    <cfRule type="expression" dxfId="278" priority="35" stopIfTrue="1">
      <formula>MOD(ROW(),2)</formula>
    </cfRule>
  </conditionalFormatting>
  <conditionalFormatting sqref="L10">
    <cfRule type="expression" dxfId="277" priority="34" stopIfTrue="1">
      <formula>MOD(ROW(),2)</formula>
    </cfRule>
  </conditionalFormatting>
  <conditionalFormatting sqref="L8">
    <cfRule type="expression" dxfId="276" priority="33" stopIfTrue="1">
      <formula>MOD(ROW(),2)</formula>
    </cfRule>
  </conditionalFormatting>
  <conditionalFormatting sqref="L6">
    <cfRule type="expression" dxfId="275" priority="32" stopIfTrue="1">
      <formula>MOD(ROW(),2)</formula>
    </cfRule>
  </conditionalFormatting>
  <conditionalFormatting sqref="M11:M34 M36:M69">
    <cfRule type="expression" dxfId="274" priority="31" stopIfTrue="1">
      <formula>MOD(ROW(),2)</formula>
    </cfRule>
  </conditionalFormatting>
  <conditionalFormatting sqref="M35">
    <cfRule type="expression" dxfId="273" priority="30" stopIfTrue="1">
      <formula>MOD(ROW(),2)</formula>
    </cfRule>
  </conditionalFormatting>
  <conditionalFormatting sqref="M10">
    <cfRule type="expression" dxfId="272" priority="29" stopIfTrue="1">
      <formula>MOD(ROW(),2)</formula>
    </cfRule>
  </conditionalFormatting>
  <conditionalFormatting sqref="M8">
    <cfRule type="expression" dxfId="271" priority="28" stopIfTrue="1">
      <formula>MOD(ROW(),2)</formula>
    </cfRule>
  </conditionalFormatting>
  <conditionalFormatting sqref="M6">
    <cfRule type="expression" dxfId="270" priority="27" stopIfTrue="1">
      <formula>MOD(ROW(),2)</formula>
    </cfRule>
  </conditionalFormatting>
  <conditionalFormatting sqref="J11:J34 J36:J69">
    <cfRule type="expression" dxfId="269" priority="26" stopIfTrue="1">
      <formula>MOD(ROW(),2)</formula>
    </cfRule>
  </conditionalFormatting>
  <conditionalFormatting sqref="J35">
    <cfRule type="expression" dxfId="268" priority="25" stopIfTrue="1">
      <formula>MOD(ROW(),2)</formula>
    </cfRule>
  </conditionalFormatting>
  <conditionalFormatting sqref="J10">
    <cfRule type="expression" dxfId="267" priority="24" stopIfTrue="1">
      <formula>MOD(ROW(),2)</formula>
    </cfRule>
  </conditionalFormatting>
  <conditionalFormatting sqref="J8">
    <cfRule type="expression" dxfId="266" priority="23" stopIfTrue="1">
      <formula>MOD(ROW(),2)</formula>
    </cfRule>
  </conditionalFormatting>
  <conditionalFormatting sqref="J6">
    <cfRule type="expression" dxfId="265" priority="22" stopIfTrue="1">
      <formula>MOD(ROW(),2)</formula>
    </cfRule>
  </conditionalFormatting>
  <conditionalFormatting sqref="A7:B9 D8:D9 D7:F7">
    <cfRule type="expression" dxfId="264" priority="21" stopIfTrue="1">
      <formula>MOD(ROW(),2)</formula>
    </cfRule>
  </conditionalFormatting>
  <conditionalFormatting sqref="C7">
    <cfRule type="expression" dxfId="263" priority="20" stopIfTrue="1">
      <formula>MOD(ROW(),2)</formula>
    </cfRule>
  </conditionalFormatting>
  <conditionalFormatting sqref="K7">
    <cfRule type="expression" dxfId="262" priority="18" stopIfTrue="1">
      <formula>MOD(ROW(),2)</formula>
    </cfRule>
  </conditionalFormatting>
  <conditionalFormatting sqref="L7">
    <cfRule type="expression" dxfId="261" priority="17" stopIfTrue="1">
      <formula>MOD(ROW(),2)</formula>
    </cfRule>
  </conditionalFormatting>
  <conditionalFormatting sqref="M7">
    <cfRule type="expression" dxfId="260" priority="16" stopIfTrue="1">
      <formula>MOD(ROW(),2)</formula>
    </cfRule>
  </conditionalFormatting>
  <conditionalFormatting sqref="J7">
    <cfRule type="expression" dxfId="259" priority="15" stopIfTrue="1">
      <formula>MOD(ROW(),2)</formula>
    </cfRule>
  </conditionalFormatting>
  <conditionalFormatting sqref="A2:B5 D2:F5">
    <cfRule type="expression" dxfId="258" priority="14" stopIfTrue="1">
      <formula>MOD(ROW(),2)</formula>
    </cfRule>
  </conditionalFormatting>
  <conditionalFormatting sqref="C2:C5">
    <cfRule type="expression" dxfId="257" priority="12" stopIfTrue="1">
      <formula>MOD(ROW(),2)</formula>
    </cfRule>
  </conditionalFormatting>
  <conditionalFormatting sqref="K2:K5">
    <cfRule type="expression" dxfId="256" priority="11" stopIfTrue="1">
      <formula>MOD(ROW(),2)</formula>
    </cfRule>
  </conditionalFormatting>
  <conditionalFormatting sqref="L2:L5">
    <cfRule type="expression" dxfId="255" priority="10" stopIfTrue="1">
      <formula>MOD(ROW(),2)</formula>
    </cfRule>
  </conditionalFormatting>
  <conditionalFormatting sqref="M2:M5">
    <cfRule type="expression" dxfId="254" priority="9" stopIfTrue="1">
      <formula>MOD(ROW(),2)</formula>
    </cfRule>
  </conditionalFormatting>
  <conditionalFormatting sqref="J2:J5">
    <cfRule type="expression" dxfId="253" priority="8" stopIfTrue="1">
      <formula>MOD(ROW(),2)</formula>
    </cfRule>
  </conditionalFormatting>
  <conditionalFormatting sqref="E9:F9">
    <cfRule type="expression" dxfId="252" priority="7" stopIfTrue="1">
      <formula>MOD(ROW(),2)</formula>
    </cfRule>
  </conditionalFormatting>
  <conditionalFormatting sqref="C9">
    <cfRule type="expression" dxfId="251" priority="5" stopIfTrue="1">
      <formula>MOD(ROW(),2)</formula>
    </cfRule>
  </conditionalFormatting>
  <conditionalFormatting sqref="K9">
    <cfRule type="expression" dxfId="250" priority="4" stopIfTrue="1">
      <formula>MOD(ROW(),2)</formula>
    </cfRule>
  </conditionalFormatting>
  <conditionalFormatting sqref="L9">
    <cfRule type="expression" dxfId="249" priority="3" stopIfTrue="1">
      <formula>MOD(ROW(),2)</formula>
    </cfRule>
  </conditionalFormatting>
  <conditionalFormatting sqref="M9">
    <cfRule type="expression" dxfId="248" priority="2" stopIfTrue="1">
      <formula>MOD(ROW(),2)</formula>
    </cfRule>
  </conditionalFormatting>
  <conditionalFormatting sqref="J9">
    <cfRule type="expression" dxfId="247" priority="1" stopIfTrue="1">
      <formula>MOD(ROW(),2)</formula>
    </cfRule>
  </conditionalFormatting>
  <dataValidations count="4">
    <dataValidation type="list" allowBlank="1" showInputMessage="1" showErrorMessage="1" sqref="G2:G69">
      <formula1>Members</formula1>
    </dataValidation>
    <dataValidation type="list" allowBlank="1" showInputMessage="1" showErrorMessage="1" sqref="A2:A69">
      <formula1>Worktype</formula1>
    </dataValidation>
    <dataValidation type="list" allowBlank="1" showInputMessage="1" showErrorMessage="1" sqref="B2:B69">
      <formula1>Deliverable</formula1>
    </dataValidation>
    <dataValidation type="list" allowBlank="1" showInputMessage="1" showErrorMessage="1" sqref="C2:C69">
      <formula1>Status</formula1>
    </dataValidation>
  </dataValidations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45"/>
  <sheetViews>
    <sheetView tabSelected="1" zoomScaleNormal="75" workbookViewId="0">
      <pane xSplit="7" ySplit="6" topLeftCell="K7" activePane="bottomRight" state="frozen"/>
      <selection activeCell="B20" sqref="B20"/>
      <selection pane="topRight" activeCell="B20" sqref="B20"/>
      <selection pane="bottomLeft" activeCell="B20" sqref="B20"/>
      <selection pane="bottomRight" activeCell="AK8" sqref="AK8:AP8"/>
    </sheetView>
  </sheetViews>
  <sheetFormatPr defaultRowHeight="12.75" x14ac:dyDescent="0.2"/>
  <cols>
    <col min="1" max="1" width="2.28515625" style="4" customWidth="1"/>
    <col min="2" max="2" width="23.42578125" style="5" customWidth="1"/>
    <col min="3" max="4" width="6.5703125" style="5" bestFit="1" customWidth="1"/>
    <col min="5" max="5" width="24.5703125" style="4" customWidth="1"/>
    <col min="6" max="6" width="13.7109375" style="4" customWidth="1"/>
    <col min="7" max="7" width="12.7109375" style="4" bestFit="1" customWidth="1"/>
    <col min="8" max="8" width="1.85546875" style="4" customWidth="1"/>
    <col min="9" max="9" width="6.85546875" style="4" bestFit="1" customWidth="1"/>
    <col min="10" max="10" width="3.140625" style="4" customWidth="1"/>
    <col min="11" max="15" width="3.7109375" style="4" customWidth="1"/>
    <col min="16" max="16" width="6.85546875" style="4" bestFit="1" customWidth="1"/>
    <col min="17" max="22" width="3.7109375" style="4" customWidth="1"/>
    <col min="23" max="23" width="6.85546875" style="4" bestFit="1" customWidth="1"/>
    <col min="24" max="29" width="3.7109375" style="4" customWidth="1"/>
    <col min="30" max="30" width="6.85546875" style="4" bestFit="1" customWidth="1"/>
    <col min="31" max="36" width="3.7109375" style="4" customWidth="1"/>
    <col min="37" max="37" width="4" style="4" customWidth="1"/>
    <col min="38" max="42" width="3" style="4" customWidth="1"/>
    <col min="43" max="52" width="9.140625" style="4"/>
    <col min="53" max="16384" width="9.140625" style="1"/>
  </cols>
  <sheetData>
    <row r="1" spans="2:42" ht="13.5" thickBot="1" x14ac:dyDescent="0.25"/>
    <row r="2" spans="2:42" ht="13.5" thickBot="1" x14ac:dyDescent="0.25">
      <c r="B2" s="6" t="s">
        <v>74</v>
      </c>
      <c r="C2" s="7"/>
      <c r="D2" s="139" t="str">
        <f>TEXT(E2,"ddd")</f>
        <v>Tue</v>
      </c>
      <c r="E2" s="140">
        <v>42654</v>
      </c>
    </row>
    <row r="3" spans="2:42" ht="13.5" thickBot="1" x14ac:dyDescent="0.25">
      <c r="B3" s="8" t="s">
        <v>75</v>
      </c>
      <c r="C3" s="9"/>
      <c r="D3" s="10" t="str">
        <f>TEXT(E3,"ddd")</f>
        <v>Mon</v>
      </c>
      <c r="E3" s="11">
        <v>42667</v>
      </c>
    </row>
    <row r="4" spans="2:42" ht="13.5" thickBot="1" x14ac:dyDescent="0.25">
      <c r="D4" s="4"/>
      <c r="E4" s="12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2:42" ht="15.75" thickBot="1" x14ac:dyDescent="0.25">
      <c r="B5" s="169" t="s">
        <v>13</v>
      </c>
      <c r="C5" s="170"/>
      <c r="D5" s="170"/>
      <c r="E5" s="170"/>
      <c r="F5" s="170"/>
      <c r="G5" s="171"/>
      <c r="I5" s="14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7"/>
      <c r="AL5" s="16"/>
      <c r="AM5" s="16"/>
      <c r="AN5" s="16"/>
      <c r="AO5" s="16"/>
      <c r="AP5" s="18"/>
    </row>
    <row r="6" spans="2:42" ht="13.5" thickBot="1" x14ac:dyDescent="0.25">
      <c r="B6" s="19" t="s">
        <v>19</v>
      </c>
      <c r="C6" s="20">
        <v>6</v>
      </c>
      <c r="D6" s="21"/>
      <c r="E6" s="22" t="s">
        <v>20</v>
      </c>
      <c r="F6" s="23">
        <f>E3-E2+1</f>
        <v>14</v>
      </c>
      <c r="G6" s="24"/>
      <c r="I6" s="25">
        <f>IF(D2="Mon",E2-0,IF(D2="Tue",E2-1,IF(D2="Wed",E2-2,IF(D2="Thu",E2-3,IF(D2="Fri",E2-4,IF(D2="Sat",E2-5,IF(D2="Sun",E2-6,"False")))))))</f>
        <v>42653</v>
      </c>
      <c r="J6" s="26">
        <f t="shared" ref="J6:O6" si="0">I6+1</f>
        <v>42654</v>
      </c>
      <c r="K6" s="26">
        <f t="shared" si="0"/>
        <v>42655</v>
      </c>
      <c r="L6" s="26">
        <f t="shared" si="0"/>
        <v>42656</v>
      </c>
      <c r="M6" s="26">
        <f t="shared" si="0"/>
        <v>42657</v>
      </c>
      <c r="N6" s="27">
        <f t="shared" si="0"/>
        <v>42658</v>
      </c>
      <c r="O6" s="27">
        <f t="shared" si="0"/>
        <v>42659</v>
      </c>
      <c r="P6" s="28">
        <f>I6+7</f>
        <v>42660</v>
      </c>
      <c r="Q6" s="26">
        <f t="shared" ref="Q6" si="1">P6+1</f>
        <v>42661</v>
      </c>
      <c r="R6" s="26">
        <f t="shared" ref="R6" si="2">Q6+1</f>
        <v>42662</v>
      </c>
      <c r="S6" s="26">
        <f t="shared" ref="S6" si="3">R6+1</f>
        <v>42663</v>
      </c>
      <c r="T6" s="26">
        <f t="shared" ref="T6" si="4">S6+1</f>
        <v>42664</v>
      </c>
      <c r="U6" s="27">
        <f t="shared" ref="U6" si="5">T6+1</f>
        <v>42665</v>
      </c>
      <c r="V6" s="27">
        <f t="shared" ref="V6" si="6">U6+1</f>
        <v>42666</v>
      </c>
      <c r="W6" s="28">
        <f>P6+7</f>
        <v>42667</v>
      </c>
      <c r="X6" s="26">
        <f t="shared" ref="X6" si="7">W6+1</f>
        <v>42668</v>
      </c>
      <c r="Y6" s="26">
        <f t="shared" ref="Y6" si="8">X6+1</f>
        <v>42669</v>
      </c>
      <c r="Z6" s="26">
        <f t="shared" ref="Z6" si="9">Y6+1</f>
        <v>42670</v>
      </c>
      <c r="AA6" s="26">
        <f t="shared" ref="AA6" si="10">Z6+1</f>
        <v>42671</v>
      </c>
      <c r="AB6" s="27">
        <f t="shared" ref="AB6" si="11">AA6+1</f>
        <v>42672</v>
      </c>
      <c r="AC6" s="27">
        <f t="shared" ref="AC6" si="12">AB6+1</f>
        <v>42673</v>
      </c>
      <c r="AD6" s="28">
        <f>W6+7</f>
        <v>42674</v>
      </c>
      <c r="AE6" s="26">
        <f t="shared" ref="AE6:AJ6" si="13">AD6+1</f>
        <v>42675</v>
      </c>
      <c r="AF6" s="26">
        <f t="shared" si="13"/>
        <v>42676</v>
      </c>
      <c r="AG6" s="26">
        <f t="shared" si="13"/>
        <v>42677</v>
      </c>
      <c r="AH6" s="26">
        <f t="shared" si="13"/>
        <v>42678</v>
      </c>
      <c r="AI6" s="27">
        <f t="shared" si="13"/>
        <v>42679</v>
      </c>
      <c r="AJ6" s="27">
        <f t="shared" si="13"/>
        <v>42680</v>
      </c>
      <c r="AK6" s="172"/>
      <c r="AL6" s="173"/>
      <c r="AM6" s="173"/>
      <c r="AN6" s="173"/>
      <c r="AO6" s="173"/>
      <c r="AP6" s="174"/>
    </row>
    <row r="7" spans="2:42" ht="29.25" customHeight="1" thickBot="1" x14ac:dyDescent="0.25">
      <c r="B7" s="29"/>
      <c r="C7" s="30"/>
      <c r="D7" s="21"/>
      <c r="E7" s="31" t="s">
        <v>11</v>
      </c>
      <c r="F7" s="31" t="s">
        <v>39</v>
      </c>
      <c r="G7" s="32" t="s">
        <v>12</v>
      </c>
      <c r="I7" s="33" t="s">
        <v>0</v>
      </c>
      <c r="J7" s="34" t="s">
        <v>2</v>
      </c>
      <c r="K7" s="34" t="s">
        <v>3</v>
      </c>
      <c r="L7" s="34" t="s">
        <v>2</v>
      </c>
      <c r="M7" s="34" t="s">
        <v>4</v>
      </c>
      <c r="N7" s="35" t="s">
        <v>1</v>
      </c>
      <c r="O7" s="36" t="s">
        <v>1</v>
      </c>
      <c r="P7" s="33" t="s">
        <v>0</v>
      </c>
      <c r="Q7" s="34" t="s">
        <v>2</v>
      </c>
      <c r="R7" s="34" t="s">
        <v>3</v>
      </c>
      <c r="S7" s="34" t="s">
        <v>2</v>
      </c>
      <c r="T7" s="34" t="s">
        <v>4</v>
      </c>
      <c r="U7" s="35" t="s">
        <v>1</v>
      </c>
      <c r="V7" s="36" t="s">
        <v>1</v>
      </c>
      <c r="W7" s="33" t="s">
        <v>0</v>
      </c>
      <c r="X7" s="34" t="s">
        <v>2</v>
      </c>
      <c r="Y7" s="34" t="s">
        <v>3</v>
      </c>
      <c r="Z7" s="34" t="s">
        <v>2</v>
      </c>
      <c r="AA7" s="34" t="s">
        <v>4</v>
      </c>
      <c r="AB7" s="35" t="s">
        <v>1</v>
      </c>
      <c r="AC7" s="36" t="s">
        <v>1</v>
      </c>
      <c r="AD7" s="33" t="s">
        <v>0</v>
      </c>
      <c r="AE7" s="34" t="s">
        <v>2</v>
      </c>
      <c r="AF7" s="34" t="s">
        <v>3</v>
      </c>
      <c r="AG7" s="34" t="s">
        <v>2</v>
      </c>
      <c r="AH7" s="34" t="s">
        <v>4</v>
      </c>
      <c r="AI7" s="35" t="s">
        <v>1</v>
      </c>
      <c r="AJ7" s="36" t="s">
        <v>1</v>
      </c>
      <c r="AK7" s="175" t="s">
        <v>10</v>
      </c>
      <c r="AL7" s="176"/>
      <c r="AM7" s="176"/>
      <c r="AN7" s="176"/>
      <c r="AO7" s="176"/>
      <c r="AP7" s="177"/>
    </row>
    <row r="8" spans="2:42" ht="13.5" thickBot="1" x14ac:dyDescent="0.25">
      <c r="B8" s="37" t="s">
        <v>5</v>
      </c>
      <c r="C8" s="38">
        <f>SUM(G8:G25)</f>
        <v>60</v>
      </c>
      <c r="D8" s="39"/>
      <c r="E8" s="40" t="s">
        <v>57</v>
      </c>
      <c r="F8" s="41">
        <v>1</v>
      </c>
      <c r="G8" s="112">
        <f>IF(E8&lt;&gt;"",SUMIF(Backlog[Dev],E8,Backlog[Coding Hours]),"")</f>
        <v>48</v>
      </c>
      <c r="H8" s="42"/>
      <c r="I8" s="157">
        <f>IF(I$6&lt;$E$2,0,IF(I$6&gt;$E$3,0,IF(ISBLANK($E8),0,IF(I$6&lt;$E$2,0,1))))</f>
        <v>0</v>
      </c>
      <c r="J8" s="161">
        <f t="shared" ref="J8:M23" si="14">IF(J$6&lt;$E$2,0,IF(J$6&gt;$E$3,0,IF(ISBLANK($E8),0,IF(J$6&lt;$E$2,0,1))))</f>
        <v>1</v>
      </c>
      <c r="K8" s="161">
        <f t="shared" si="14"/>
        <v>1</v>
      </c>
      <c r="L8" s="161">
        <f t="shared" si="14"/>
        <v>1</v>
      </c>
      <c r="M8" s="158">
        <f t="shared" si="14"/>
        <v>1</v>
      </c>
      <c r="N8" s="43"/>
      <c r="O8" s="44"/>
      <c r="P8" s="157">
        <f>IF(P$6&lt;$E$2,0,IF(P$6&gt;$E$3,0,IF(ISBLANK($E8),0,IF(P$6&lt;$E$2,0,1))))</f>
        <v>1</v>
      </c>
      <c r="Q8" s="161">
        <f t="shared" ref="Q8:T8" si="15">IF(Q$6&lt;$E$2,0,IF(Q$6&gt;$E$3,0,IF(ISBLANK($E8),0,IF(Q$6&lt;$E$2,0,1))))</f>
        <v>1</v>
      </c>
      <c r="R8" s="161">
        <f t="shared" si="15"/>
        <v>1</v>
      </c>
      <c r="S8" s="161">
        <f t="shared" si="15"/>
        <v>1</v>
      </c>
      <c r="T8" s="158">
        <f t="shared" si="15"/>
        <v>1</v>
      </c>
      <c r="U8" s="43"/>
      <c r="V8" s="44"/>
      <c r="W8" s="159">
        <f>IF(W$6&lt;$E$2,0,IF(W$6&gt;$E$3,0,IF(ISBLANK($E8),0,IF(W$6&lt;$E$2,0,1))))</f>
        <v>1</v>
      </c>
      <c r="X8" s="165">
        <f t="shared" ref="X8:AA8" si="16">IF(X$6&lt;$E$2,0,IF(X$6&gt;$E$3,0,IF(ISBLANK($E8),0,IF(X$6&lt;$E$2,0,1))))</f>
        <v>0</v>
      </c>
      <c r="Y8" s="158">
        <f t="shared" si="16"/>
        <v>0</v>
      </c>
      <c r="Z8" s="158">
        <f t="shared" si="16"/>
        <v>0</v>
      </c>
      <c r="AA8" s="164">
        <f t="shared" si="16"/>
        <v>0</v>
      </c>
      <c r="AB8" s="43"/>
      <c r="AC8" s="44"/>
      <c r="AD8" s="159">
        <f>IF(AD$6&lt;$E$2,0,IF(AD$6&gt;$E$3,0,IF(ISBLANK($E8),0,IF(AD$6&lt;$E$2,0,1))))</f>
        <v>0</v>
      </c>
      <c r="AE8" s="158">
        <f t="shared" ref="AE8:AH8" si="17">IF(AE$6&lt;$E$2,0,IF(AE$6&gt;$E$3,0,IF(ISBLANK($E8),0,IF(AE$6&lt;$E$2,0,1))))</f>
        <v>0</v>
      </c>
      <c r="AF8" s="158">
        <f t="shared" si="17"/>
        <v>0</v>
      </c>
      <c r="AG8" s="158">
        <f t="shared" si="17"/>
        <v>0</v>
      </c>
      <c r="AH8" s="164">
        <f t="shared" si="17"/>
        <v>0</v>
      </c>
      <c r="AI8" s="43"/>
      <c r="AJ8" s="44"/>
      <c r="AK8" s="166">
        <f>IF(E8="",0,(COUNTIF(I8:AJ8,1)*$C$6)*F8-G8)</f>
        <v>12</v>
      </c>
      <c r="AL8" s="167"/>
      <c r="AM8" s="167"/>
      <c r="AN8" s="167"/>
      <c r="AO8" s="167"/>
      <c r="AP8" s="168"/>
    </row>
    <row r="9" spans="2:42" ht="13.5" thickBot="1" x14ac:dyDescent="0.25">
      <c r="B9" s="45" t="s">
        <v>6</v>
      </c>
      <c r="C9" s="38">
        <f>SUM(AK8:AP25)</f>
        <v>96</v>
      </c>
      <c r="D9" s="46"/>
      <c r="E9" s="2" t="s">
        <v>59</v>
      </c>
      <c r="F9" s="41">
        <v>0.5</v>
      </c>
      <c r="G9" s="112">
        <f>IF(E9&lt;&gt;"",SUMIF(Backlog[Dev],E9,Backlog[Coding Hours]),"")</f>
        <v>12</v>
      </c>
      <c r="H9" s="42"/>
      <c r="I9" s="157">
        <f t="shared" ref="I9:M25" si="18">IF(I$6&lt;$E$2,0,IF(I$6&gt;$E$3,0,IF(ISBLANK($E9),0,IF(I$6&lt;$E$2,0,1))))</f>
        <v>0</v>
      </c>
      <c r="J9" s="162">
        <f t="shared" si="14"/>
        <v>1</v>
      </c>
      <c r="K9" s="162">
        <f t="shared" si="14"/>
        <v>1</v>
      </c>
      <c r="L9" s="162">
        <f t="shared" si="14"/>
        <v>1</v>
      </c>
      <c r="M9" s="48">
        <f t="shared" si="14"/>
        <v>1</v>
      </c>
      <c r="N9" s="49"/>
      <c r="O9" s="50"/>
      <c r="P9" s="157">
        <f t="shared" ref="P9:T25" si="19">IF(P$6&lt;$E$2,0,IF(P$6&gt;$E$3,0,IF(ISBLANK($E9),0,IF(P$6&lt;$E$2,0,1))))</f>
        <v>1</v>
      </c>
      <c r="Q9" s="48">
        <f t="shared" si="19"/>
        <v>1</v>
      </c>
      <c r="R9" s="48">
        <f t="shared" si="19"/>
        <v>1</v>
      </c>
      <c r="S9" s="48">
        <f t="shared" si="19"/>
        <v>1</v>
      </c>
      <c r="T9" s="164">
        <f t="shared" si="19"/>
        <v>1</v>
      </c>
      <c r="U9" s="49"/>
      <c r="V9" s="50"/>
      <c r="W9" s="47">
        <f t="shared" ref="W9:AA25" si="20">IF(W$6&lt;$E$2,0,IF(W$6&gt;$E$3,0,IF(ISBLANK($E9),0,IF(W$6&lt;$E$2,0,1))))</f>
        <v>1</v>
      </c>
      <c r="X9" s="48">
        <f t="shared" si="20"/>
        <v>0</v>
      </c>
      <c r="Y9" s="48">
        <f t="shared" si="20"/>
        <v>0</v>
      </c>
      <c r="Z9" s="48">
        <f t="shared" si="20"/>
        <v>0</v>
      </c>
      <c r="AA9" s="164">
        <f t="shared" si="20"/>
        <v>0</v>
      </c>
      <c r="AB9" s="49"/>
      <c r="AC9" s="50"/>
      <c r="AD9" s="47">
        <f t="shared" ref="AD9:AH25" si="21">IF(AD$6&lt;$E$2,0,IF(AD$6&gt;$E$3,0,IF(ISBLANK($E9),0,IF(AD$6&lt;$E$2,0,1))))</f>
        <v>0</v>
      </c>
      <c r="AE9" s="48">
        <f t="shared" si="21"/>
        <v>0</v>
      </c>
      <c r="AF9" s="48">
        <f t="shared" si="21"/>
        <v>0</v>
      </c>
      <c r="AG9" s="48">
        <f t="shared" si="21"/>
        <v>0</v>
      </c>
      <c r="AH9" s="164">
        <f t="shared" si="21"/>
        <v>0</v>
      </c>
      <c r="AI9" s="49"/>
      <c r="AJ9" s="50"/>
      <c r="AK9" s="166">
        <f t="shared" ref="AK9:AK25" si="22">IF(E9="",0,(COUNTIF(I9:AJ9,1)*$C$6)*F9-G9)</f>
        <v>18</v>
      </c>
      <c r="AL9" s="167"/>
      <c r="AM9" s="167"/>
      <c r="AN9" s="167"/>
      <c r="AO9" s="167"/>
      <c r="AP9" s="168"/>
    </row>
    <row r="10" spans="2:42" ht="13.5" thickBot="1" x14ac:dyDescent="0.25">
      <c r="B10" s="51" t="s">
        <v>7</v>
      </c>
      <c r="C10" s="52">
        <f>C8-C9</f>
        <v>-36</v>
      </c>
      <c r="D10" s="21"/>
      <c r="E10" s="2" t="s">
        <v>61</v>
      </c>
      <c r="F10" s="41">
        <v>0.3</v>
      </c>
      <c r="G10" s="112">
        <f>IF(E10&lt;&gt;"",SUMIF(Backlog[Dev],E10,Backlog[Coding Hours]),"")</f>
        <v>0</v>
      </c>
      <c r="H10" s="42"/>
      <c r="I10" s="157">
        <f t="shared" si="18"/>
        <v>0</v>
      </c>
      <c r="J10" s="162">
        <f t="shared" si="14"/>
        <v>1</v>
      </c>
      <c r="K10" s="162">
        <f t="shared" si="14"/>
        <v>1</v>
      </c>
      <c r="L10" s="162">
        <f t="shared" si="14"/>
        <v>1</v>
      </c>
      <c r="M10" s="48">
        <f t="shared" si="14"/>
        <v>1</v>
      </c>
      <c r="N10" s="49"/>
      <c r="O10" s="50"/>
      <c r="P10" s="47">
        <f t="shared" si="19"/>
        <v>1</v>
      </c>
      <c r="Q10" s="48">
        <f t="shared" si="19"/>
        <v>1</v>
      </c>
      <c r="R10" s="48">
        <f t="shared" si="19"/>
        <v>1</v>
      </c>
      <c r="S10" s="48">
        <f t="shared" si="19"/>
        <v>1</v>
      </c>
      <c r="T10" s="164">
        <f t="shared" si="19"/>
        <v>1</v>
      </c>
      <c r="U10" s="49"/>
      <c r="V10" s="50"/>
      <c r="W10" s="47">
        <f t="shared" si="20"/>
        <v>1</v>
      </c>
      <c r="X10" s="48">
        <f t="shared" si="20"/>
        <v>0</v>
      </c>
      <c r="Y10" s="48">
        <f t="shared" si="20"/>
        <v>0</v>
      </c>
      <c r="Z10" s="48">
        <f t="shared" si="20"/>
        <v>0</v>
      </c>
      <c r="AA10" s="164">
        <f t="shared" si="20"/>
        <v>0</v>
      </c>
      <c r="AB10" s="49"/>
      <c r="AC10" s="50"/>
      <c r="AD10" s="47">
        <f t="shared" si="21"/>
        <v>0</v>
      </c>
      <c r="AE10" s="48">
        <f t="shared" si="21"/>
        <v>0</v>
      </c>
      <c r="AF10" s="48">
        <f t="shared" si="21"/>
        <v>0</v>
      </c>
      <c r="AG10" s="48">
        <f t="shared" si="21"/>
        <v>0</v>
      </c>
      <c r="AH10" s="164">
        <f t="shared" si="21"/>
        <v>0</v>
      </c>
      <c r="AI10" s="49"/>
      <c r="AJ10" s="50"/>
      <c r="AK10" s="166">
        <f t="shared" si="22"/>
        <v>18</v>
      </c>
      <c r="AL10" s="167"/>
      <c r="AM10" s="167"/>
      <c r="AN10" s="167"/>
      <c r="AO10" s="167"/>
      <c r="AP10" s="168"/>
    </row>
    <row r="11" spans="2:42" ht="13.5" thickBot="1" x14ac:dyDescent="0.25">
      <c r="B11" s="53"/>
      <c r="D11" s="54"/>
      <c r="E11" s="2" t="s">
        <v>76</v>
      </c>
      <c r="F11" s="41">
        <v>1</v>
      </c>
      <c r="G11" s="112">
        <f>IF(E11&lt;&gt;"",SUMIF(Backlog[Dev],E11,Backlog[Coding Hours]),"")</f>
        <v>0</v>
      </c>
      <c r="H11" s="42"/>
      <c r="I11" s="157">
        <f t="shared" si="18"/>
        <v>0</v>
      </c>
      <c r="J11" s="162">
        <f t="shared" si="14"/>
        <v>1</v>
      </c>
      <c r="K11" s="162">
        <f t="shared" si="14"/>
        <v>1</v>
      </c>
      <c r="L11" s="162">
        <f t="shared" si="14"/>
        <v>1</v>
      </c>
      <c r="M11" s="48">
        <f t="shared" si="14"/>
        <v>1</v>
      </c>
      <c r="N11" s="49"/>
      <c r="O11" s="50"/>
      <c r="P11" s="47" t="s">
        <v>78</v>
      </c>
      <c r="Q11" s="48" t="s">
        <v>79</v>
      </c>
      <c r="R11" s="48">
        <f t="shared" si="19"/>
        <v>1</v>
      </c>
      <c r="S11" s="48">
        <f t="shared" si="19"/>
        <v>1</v>
      </c>
      <c r="T11" s="164">
        <f t="shared" si="19"/>
        <v>1</v>
      </c>
      <c r="U11" s="49"/>
      <c r="V11" s="50"/>
      <c r="W11" s="47">
        <f t="shared" si="20"/>
        <v>1</v>
      </c>
      <c r="X11" s="48">
        <f t="shared" si="20"/>
        <v>0</v>
      </c>
      <c r="Y11" s="48">
        <f t="shared" si="20"/>
        <v>0</v>
      </c>
      <c r="Z11" s="48">
        <f t="shared" si="20"/>
        <v>0</v>
      </c>
      <c r="AA11" s="164">
        <f t="shared" si="20"/>
        <v>0</v>
      </c>
      <c r="AB11" s="49"/>
      <c r="AC11" s="50"/>
      <c r="AD11" s="47">
        <f t="shared" si="21"/>
        <v>0</v>
      </c>
      <c r="AE11" s="48">
        <f t="shared" si="21"/>
        <v>0</v>
      </c>
      <c r="AF11" s="48">
        <f t="shared" si="21"/>
        <v>0</v>
      </c>
      <c r="AG11" s="48">
        <f t="shared" si="21"/>
        <v>0</v>
      </c>
      <c r="AH11" s="164">
        <f t="shared" si="21"/>
        <v>0</v>
      </c>
      <c r="AI11" s="49"/>
      <c r="AJ11" s="50"/>
      <c r="AK11" s="166">
        <f t="shared" si="22"/>
        <v>48</v>
      </c>
      <c r="AL11" s="167"/>
      <c r="AM11" s="167"/>
      <c r="AN11" s="167"/>
      <c r="AO11" s="167"/>
      <c r="AP11" s="168"/>
    </row>
    <row r="12" spans="2:42" ht="13.5" thickBot="1" x14ac:dyDescent="0.25">
      <c r="B12" s="53"/>
      <c r="D12" s="54"/>
      <c r="E12" s="2"/>
      <c r="F12" s="41"/>
      <c r="G12" s="112" t="str">
        <f>IF(E12&lt;&gt;"",SUMIF(Backlog[Dev],E12,Backlog[Coding Hours]),"")</f>
        <v/>
      </c>
      <c r="H12" s="42"/>
      <c r="I12" s="157">
        <f t="shared" si="18"/>
        <v>0</v>
      </c>
      <c r="J12" s="162">
        <f t="shared" si="14"/>
        <v>0</v>
      </c>
      <c r="K12" s="162">
        <f t="shared" si="14"/>
        <v>0</v>
      </c>
      <c r="L12" s="162">
        <f t="shared" si="14"/>
        <v>0</v>
      </c>
      <c r="M12" s="48">
        <f t="shared" si="14"/>
        <v>0</v>
      </c>
      <c r="N12" s="49"/>
      <c r="O12" s="50"/>
      <c r="P12" s="47">
        <f t="shared" si="19"/>
        <v>0</v>
      </c>
      <c r="Q12" s="48">
        <f t="shared" si="19"/>
        <v>0</v>
      </c>
      <c r="R12" s="48">
        <f t="shared" si="19"/>
        <v>0</v>
      </c>
      <c r="S12" s="48">
        <f t="shared" si="19"/>
        <v>0</v>
      </c>
      <c r="T12" s="164">
        <f t="shared" si="19"/>
        <v>0</v>
      </c>
      <c r="U12" s="49"/>
      <c r="V12" s="50"/>
      <c r="W12" s="47">
        <f t="shared" si="20"/>
        <v>0</v>
      </c>
      <c r="X12" s="48">
        <f t="shared" si="20"/>
        <v>0</v>
      </c>
      <c r="Y12" s="48">
        <f t="shared" si="20"/>
        <v>0</v>
      </c>
      <c r="Z12" s="48">
        <f t="shared" si="20"/>
        <v>0</v>
      </c>
      <c r="AA12" s="164">
        <f t="shared" si="20"/>
        <v>0</v>
      </c>
      <c r="AB12" s="49"/>
      <c r="AC12" s="50"/>
      <c r="AD12" s="47">
        <f t="shared" si="21"/>
        <v>0</v>
      </c>
      <c r="AE12" s="48">
        <f t="shared" si="21"/>
        <v>0</v>
      </c>
      <c r="AF12" s="48">
        <f t="shared" si="21"/>
        <v>0</v>
      </c>
      <c r="AG12" s="48">
        <f t="shared" si="21"/>
        <v>0</v>
      </c>
      <c r="AH12" s="164">
        <f t="shared" si="21"/>
        <v>0</v>
      </c>
      <c r="AI12" s="49"/>
      <c r="AJ12" s="50"/>
      <c r="AK12" s="166">
        <f t="shared" si="22"/>
        <v>0</v>
      </c>
      <c r="AL12" s="167"/>
      <c r="AM12" s="167"/>
      <c r="AN12" s="167"/>
      <c r="AO12" s="167"/>
      <c r="AP12" s="168"/>
    </row>
    <row r="13" spans="2:42" ht="13.5" thickBot="1" x14ac:dyDescent="0.25">
      <c r="B13" s="53"/>
      <c r="D13" s="55"/>
      <c r="E13" s="2"/>
      <c r="F13" s="41"/>
      <c r="G13" s="112" t="str">
        <f>IF(E13&lt;&gt;"",SUMIF(Backlog[Dev],E13,Backlog[Coding Hours]),"")</f>
        <v/>
      </c>
      <c r="H13" s="42"/>
      <c r="I13" s="157">
        <f t="shared" si="18"/>
        <v>0</v>
      </c>
      <c r="J13" s="162">
        <f t="shared" si="14"/>
        <v>0</v>
      </c>
      <c r="K13" s="162">
        <f t="shared" si="14"/>
        <v>0</v>
      </c>
      <c r="L13" s="162">
        <f t="shared" si="14"/>
        <v>0</v>
      </c>
      <c r="M13" s="48">
        <f t="shared" si="14"/>
        <v>0</v>
      </c>
      <c r="N13" s="49"/>
      <c r="O13" s="50"/>
      <c r="P13" s="47">
        <f t="shared" si="19"/>
        <v>0</v>
      </c>
      <c r="Q13" s="48">
        <f t="shared" si="19"/>
        <v>0</v>
      </c>
      <c r="R13" s="48">
        <f t="shared" si="19"/>
        <v>0</v>
      </c>
      <c r="S13" s="48">
        <f t="shared" si="19"/>
        <v>0</v>
      </c>
      <c r="T13" s="164">
        <f t="shared" si="19"/>
        <v>0</v>
      </c>
      <c r="U13" s="49"/>
      <c r="V13" s="50"/>
      <c r="W13" s="47">
        <f t="shared" si="20"/>
        <v>0</v>
      </c>
      <c r="X13" s="48">
        <f t="shared" si="20"/>
        <v>0</v>
      </c>
      <c r="Y13" s="48">
        <f t="shared" si="20"/>
        <v>0</v>
      </c>
      <c r="Z13" s="48">
        <f t="shared" si="20"/>
        <v>0</v>
      </c>
      <c r="AA13" s="164">
        <f t="shared" si="20"/>
        <v>0</v>
      </c>
      <c r="AB13" s="49"/>
      <c r="AC13" s="50"/>
      <c r="AD13" s="47">
        <f t="shared" si="21"/>
        <v>0</v>
      </c>
      <c r="AE13" s="48">
        <f t="shared" si="21"/>
        <v>0</v>
      </c>
      <c r="AF13" s="48">
        <f t="shared" si="21"/>
        <v>0</v>
      </c>
      <c r="AG13" s="48">
        <f t="shared" si="21"/>
        <v>0</v>
      </c>
      <c r="AH13" s="164">
        <f t="shared" si="21"/>
        <v>0</v>
      </c>
      <c r="AI13" s="49"/>
      <c r="AJ13" s="50"/>
      <c r="AK13" s="166">
        <f t="shared" si="22"/>
        <v>0</v>
      </c>
      <c r="AL13" s="167"/>
      <c r="AM13" s="167"/>
      <c r="AN13" s="167"/>
      <c r="AO13" s="167"/>
      <c r="AP13" s="168"/>
    </row>
    <row r="14" spans="2:42" ht="13.5" thickBot="1" x14ac:dyDescent="0.25">
      <c r="B14" s="53"/>
      <c r="D14" s="21"/>
      <c r="E14" s="2"/>
      <c r="F14" s="41"/>
      <c r="G14" s="112" t="str">
        <f>IF(E14&lt;&gt;"",SUMIF(Backlog[Dev],E14,Backlog[Coding Hours]),"")</f>
        <v/>
      </c>
      <c r="H14" s="42"/>
      <c r="I14" s="157">
        <f t="shared" si="18"/>
        <v>0</v>
      </c>
      <c r="J14" s="162">
        <f t="shared" si="14"/>
        <v>0</v>
      </c>
      <c r="K14" s="162">
        <f t="shared" si="14"/>
        <v>0</v>
      </c>
      <c r="L14" s="162">
        <f t="shared" si="14"/>
        <v>0</v>
      </c>
      <c r="M14" s="48">
        <f t="shared" si="14"/>
        <v>0</v>
      </c>
      <c r="N14" s="49"/>
      <c r="O14" s="50"/>
      <c r="P14" s="47">
        <f t="shared" si="19"/>
        <v>0</v>
      </c>
      <c r="Q14" s="48">
        <f t="shared" si="19"/>
        <v>0</v>
      </c>
      <c r="R14" s="48">
        <f t="shared" si="19"/>
        <v>0</v>
      </c>
      <c r="S14" s="48">
        <f t="shared" si="19"/>
        <v>0</v>
      </c>
      <c r="T14" s="164">
        <f t="shared" si="19"/>
        <v>0</v>
      </c>
      <c r="U14" s="49"/>
      <c r="V14" s="50"/>
      <c r="W14" s="47">
        <f t="shared" si="20"/>
        <v>0</v>
      </c>
      <c r="X14" s="48">
        <f t="shared" si="20"/>
        <v>0</v>
      </c>
      <c r="Y14" s="48">
        <f t="shared" si="20"/>
        <v>0</v>
      </c>
      <c r="Z14" s="48">
        <f t="shared" si="20"/>
        <v>0</v>
      </c>
      <c r="AA14" s="164">
        <f t="shared" si="20"/>
        <v>0</v>
      </c>
      <c r="AB14" s="49"/>
      <c r="AC14" s="50"/>
      <c r="AD14" s="47">
        <f t="shared" si="21"/>
        <v>0</v>
      </c>
      <c r="AE14" s="48">
        <f t="shared" si="21"/>
        <v>0</v>
      </c>
      <c r="AF14" s="48">
        <f t="shared" si="21"/>
        <v>0</v>
      </c>
      <c r="AG14" s="48">
        <f t="shared" si="21"/>
        <v>0</v>
      </c>
      <c r="AH14" s="164">
        <f t="shared" si="21"/>
        <v>0</v>
      </c>
      <c r="AI14" s="49"/>
      <c r="AJ14" s="50"/>
      <c r="AK14" s="166">
        <f t="shared" si="22"/>
        <v>0</v>
      </c>
      <c r="AL14" s="167"/>
      <c r="AM14" s="167"/>
      <c r="AN14" s="167"/>
      <c r="AO14" s="167"/>
      <c r="AP14" s="168"/>
    </row>
    <row r="15" spans="2:42" ht="13.5" thickBot="1" x14ac:dyDescent="0.25">
      <c r="B15" s="53"/>
      <c r="D15" s="21"/>
      <c r="E15" s="2"/>
      <c r="F15" s="41"/>
      <c r="G15" s="112" t="str">
        <f>IF(E15&lt;&gt;"",SUMIF(Backlog[Dev],E15,Backlog[Coding Hours]),"")</f>
        <v/>
      </c>
      <c r="H15" s="42"/>
      <c r="I15" s="157">
        <f t="shared" si="18"/>
        <v>0</v>
      </c>
      <c r="J15" s="162">
        <f t="shared" si="14"/>
        <v>0</v>
      </c>
      <c r="K15" s="162">
        <f t="shared" si="14"/>
        <v>0</v>
      </c>
      <c r="L15" s="162">
        <f t="shared" si="14"/>
        <v>0</v>
      </c>
      <c r="M15" s="48">
        <f t="shared" si="14"/>
        <v>0</v>
      </c>
      <c r="N15" s="49"/>
      <c r="O15" s="50"/>
      <c r="P15" s="47">
        <f t="shared" si="19"/>
        <v>0</v>
      </c>
      <c r="Q15" s="48">
        <f t="shared" si="19"/>
        <v>0</v>
      </c>
      <c r="R15" s="48">
        <f t="shared" si="19"/>
        <v>0</v>
      </c>
      <c r="S15" s="48">
        <f t="shared" si="19"/>
        <v>0</v>
      </c>
      <c r="T15" s="164">
        <f t="shared" si="19"/>
        <v>0</v>
      </c>
      <c r="U15" s="49"/>
      <c r="V15" s="50"/>
      <c r="W15" s="47">
        <f t="shared" si="20"/>
        <v>0</v>
      </c>
      <c r="X15" s="48">
        <f t="shared" si="20"/>
        <v>0</v>
      </c>
      <c r="Y15" s="48">
        <f t="shared" si="20"/>
        <v>0</v>
      </c>
      <c r="Z15" s="48">
        <f t="shared" si="20"/>
        <v>0</v>
      </c>
      <c r="AA15" s="164">
        <f t="shared" si="20"/>
        <v>0</v>
      </c>
      <c r="AB15" s="49"/>
      <c r="AC15" s="50"/>
      <c r="AD15" s="47">
        <f t="shared" si="21"/>
        <v>0</v>
      </c>
      <c r="AE15" s="48">
        <f t="shared" si="21"/>
        <v>0</v>
      </c>
      <c r="AF15" s="48">
        <f t="shared" si="21"/>
        <v>0</v>
      </c>
      <c r="AG15" s="48">
        <f t="shared" si="21"/>
        <v>0</v>
      </c>
      <c r="AH15" s="164">
        <f t="shared" si="21"/>
        <v>0</v>
      </c>
      <c r="AI15" s="49"/>
      <c r="AJ15" s="50"/>
      <c r="AK15" s="166">
        <f t="shared" si="22"/>
        <v>0</v>
      </c>
      <c r="AL15" s="167"/>
      <c r="AM15" s="167"/>
      <c r="AN15" s="167"/>
      <c r="AO15" s="167"/>
      <c r="AP15" s="168"/>
    </row>
    <row r="16" spans="2:42" ht="13.5" thickBot="1" x14ac:dyDescent="0.25">
      <c r="B16" s="53"/>
      <c r="D16" s="55"/>
      <c r="E16" s="2"/>
      <c r="F16" s="41"/>
      <c r="G16" s="112" t="str">
        <f>IF(E16&lt;&gt;"",SUMIF(Backlog[Dev],E16,Backlog[Coding Hours]),"")</f>
        <v/>
      </c>
      <c r="H16" s="42"/>
      <c r="I16" s="157">
        <f t="shared" si="18"/>
        <v>0</v>
      </c>
      <c r="J16" s="162">
        <f t="shared" si="14"/>
        <v>0</v>
      </c>
      <c r="K16" s="162">
        <f t="shared" si="14"/>
        <v>0</v>
      </c>
      <c r="L16" s="162">
        <f t="shared" si="14"/>
        <v>0</v>
      </c>
      <c r="M16" s="48">
        <f t="shared" si="14"/>
        <v>0</v>
      </c>
      <c r="N16" s="49"/>
      <c r="O16" s="50"/>
      <c r="P16" s="47">
        <f t="shared" si="19"/>
        <v>0</v>
      </c>
      <c r="Q16" s="48">
        <f t="shared" si="19"/>
        <v>0</v>
      </c>
      <c r="R16" s="48">
        <f t="shared" si="19"/>
        <v>0</v>
      </c>
      <c r="S16" s="48">
        <f t="shared" si="19"/>
        <v>0</v>
      </c>
      <c r="T16" s="164">
        <f t="shared" si="19"/>
        <v>0</v>
      </c>
      <c r="U16" s="49"/>
      <c r="V16" s="50"/>
      <c r="W16" s="47">
        <f t="shared" si="20"/>
        <v>0</v>
      </c>
      <c r="X16" s="48">
        <f t="shared" si="20"/>
        <v>0</v>
      </c>
      <c r="Y16" s="48">
        <f t="shared" si="20"/>
        <v>0</v>
      </c>
      <c r="Z16" s="48">
        <f t="shared" si="20"/>
        <v>0</v>
      </c>
      <c r="AA16" s="164">
        <f t="shared" si="20"/>
        <v>0</v>
      </c>
      <c r="AB16" s="49"/>
      <c r="AC16" s="50"/>
      <c r="AD16" s="47">
        <f t="shared" si="21"/>
        <v>0</v>
      </c>
      <c r="AE16" s="48">
        <f t="shared" si="21"/>
        <v>0</v>
      </c>
      <c r="AF16" s="48">
        <f t="shared" si="21"/>
        <v>0</v>
      </c>
      <c r="AG16" s="48">
        <f t="shared" si="21"/>
        <v>0</v>
      </c>
      <c r="AH16" s="164">
        <f t="shared" si="21"/>
        <v>0</v>
      </c>
      <c r="AI16" s="49"/>
      <c r="AJ16" s="50"/>
      <c r="AK16" s="166">
        <f t="shared" si="22"/>
        <v>0</v>
      </c>
      <c r="AL16" s="167"/>
      <c r="AM16" s="167"/>
      <c r="AN16" s="167"/>
      <c r="AO16" s="167"/>
      <c r="AP16" s="168"/>
    </row>
    <row r="17" spans="2:52" ht="13.5" thickBot="1" x14ac:dyDescent="0.25">
      <c r="B17" s="53"/>
      <c r="D17" s="55"/>
      <c r="E17" s="2"/>
      <c r="F17" s="41"/>
      <c r="G17" s="112" t="str">
        <f>IF(E17&lt;&gt;"",SUMIF(Backlog[Dev],E17,Backlog[Coding Hours]),"")</f>
        <v/>
      </c>
      <c r="H17" s="56"/>
      <c r="I17" s="157">
        <f t="shared" si="18"/>
        <v>0</v>
      </c>
      <c r="J17" s="162">
        <f t="shared" si="14"/>
        <v>0</v>
      </c>
      <c r="K17" s="162">
        <f t="shared" si="14"/>
        <v>0</v>
      </c>
      <c r="L17" s="162">
        <f t="shared" si="14"/>
        <v>0</v>
      </c>
      <c r="M17" s="48">
        <f t="shared" si="14"/>
        <v>0</v>
      </c>
      <c r="N17" s="49"/>
      <c r="O17" s="50"/>
      <c r="P17" s="47">
        <f t="shared" si="19"/>
        <v>0</v>
      </c>
      <c r="Q17" s="48">
        <f t="shared" si="19"/>
        <v>0</v>
      </c>
      <c r="R17" s="48">
        <f t="shared" si="19"/>
        <v>0</v>
      </c>
      <c r="S17" s="48">
        <f t="shared" si="19"/>
        <v>0</v>
      </c>
      <c r="T17" s="164">
        <f t="shared" si="19"/>
        <v>0</v>
      </c>
      <c r="U17" s="49"/>
      <c r="V17" s="50"/>
      <c r="W17" s="47">
        <f t="shared" si="20"/>
        <v>0</v>
      </c>
      <c r="X17" s="48">
        <f t="shared" si="20"/>
        <v>0</v>
      </c>
      <c r="Y17" s="48">
        <f t="shared" si="20"/>
        <v>0</v>
      </c>
      <c r="Z17" s="48">
        <f t="shared" si="20"/>
        <v>0</v>
      </c>
      <c r="AA17" s="164">
        <f t="shared" si="20"/>
        <v>0</v>
      </c>
      <c r="AB17" s="49"/>
      <c r="AC17" s="50"/>
      <c r="AD17" s="47">
        <f t="shared" si="21"/>
        <v>0</v>
      </c>
      <c r="AE17" s="48">
        <f t="shared" si="21"/>
        <v>0</v>
      </c>
      <c r="AF17" s="48">
        <f t="shared" si="21"/>
        <v>0</v>
      </c>
      <c r="AG17" s="48">
        <f t="shared" si="21"/>
        <v>0</v>
      </c>
      <c r="AH17" s="164">
        <f t="shared" si="21"/>
        <v>0</v>
      </c>
      <c r="AI17" s="49"/>
      <c r="AJ17" s="50"/>
      <c r="AK17" s="166">
        <f t="shared" si="22"/>
        <v>0</v>
      </c>
      <c r="AL17" s="167"/>
      <c r="AM17" s="167"/>
      <c r="AN17" s="167"/>
      <c r="AO17" s="167"/>
      <c r="AP17" s="168"/>
    </row>
    <row r="18" spans="2:52" ht="13.5" thickBot="1" x14ac:dyDescent="0.25">
      <c r="B18" s="53"/>
      <c r="D18" s="55"/>
      <c r="E18" s="2"/>
      <c r="F18" s="41"/>
      <c r="G18" s="112" t="str">
        <f>IF(E18&lt;&gt;"",SUMIF(Backlog[Dev],E18,Backlog[Coding Hours]),"")</f>
        <v/>
      </c>
      <c r="H18" s="56"/>
      <c r="I18" s="157">
        <f t="shared" si="18"/>
        <v>0</v>
      </c>
      <c r="J18" s="162">
        <f t="shared" si="14"/>
        <v>0</v>
      </c>
      <c r="K18" s="162">
        <f t="shared" si="14"/>
        <v>0</v>
      </c>
      <c r="L18" s="162">
        <f t="shared" si="14"/>
        <v>0</v>
      </c>
      <c r="M18" s="48">
        <f t="shared" si="14"/>
        <v>0</v>
      </c>
      <c r="N18" s="49"/>
      <c r="O18" s="50"/>
      <c r="P18" s="47">
        <f t="shared" si="19"/>
        <v>0</v>
      </c>
      <c r="Q18" s="48">
        <f t="shared" si="19"/>
        <v>0</v>
      </c>
      <c r="R18" s="48">
        <f t="shared" si="19"/>
        <v>0</v>
      </c>
      <c r="S18" s="48">
        <f t="shared" si="19"/>
        <v>0</v>
      </c>
      <c r="T18" s="164">
        <f t="shared" si="19"/>
        <v>0</v>
      </c>
      <c r="U18" s="49"/>
      <c r="V18" s="50"/>
      <c r="W18" s="47">
        <f t="shared" si="20"/>
        <v>0</v>
      </c>
      <c r="X18" s="48">
        <f t="shared" si="20"/>
        <v>0</v>
      </c>
      <c r="Y18" s="48">
        <f t="shared" si="20"/>
        <v>0</v>
      </c>
      <c r="Z18" s="48">
        <f t="shared" si="20"/>
        <v>0</v>
      </c>
      <c r="AA18" s="164">
        <f t="shared" si="20"/>
        <v>0</v>
      </c>
      <c r="AB18" s="49"/>
      <c r="AC18" s="50"/>
      <c r="AD18" s="47">
        <f t="shared" si="21"/>
        <v>0</v>
      </c>
      <c r="AE18" s="48">
        <f t="shared" si="21"/>
        <v>0</v>
      </c>
      <c r="AF18" s="48">
        <f t="shared" si="21"/>
        <v>0</v>
      </c>
      <c r="AG18" s="48">
        <f t="shared" si="21"/>
        <v>0</v>
      </c>
      <c r="AH18" s="164">
        <f t="shared" si="21"/>
        <v>0</v>
      </c>
      <c r="AI18" s="49"/>
      <c r="AJ18" s="50"/>
      <c r="AK18" s="166">
        <f t="shared" si="22"/>
        <v>0</v>
      </c>
      <c r="AL18" s="167"/>
      <c r="AM18" s="167"/>
      <c r="AN18" s="167"/>
      <c r="AO18" s="167"/>
      <c r="AP18" s="168"/>
    </row>
    <row r="19" spans="2:52" ht="13.5" thickBot="1" x14ac:dyDescent="0.25">
      <c r="B19" s="53"/>
      <c r="D19" s="55"/>
      <c r="E19" s="2"/>
      <c r="F19" s="41"/>
      <c r="G19" s="112" t="str">
        <f>IF(E19&lt;&gt;"",SUMIF(Backlog[Dev],E19,Backlog[Coding Hours]),"")</f>
        <v/>
      </c>
      <c r="H19" s="56"/>
      <c r="I19" s="157">
        <f t="shared" si="18"/>
        <v>0</v>
      </c>
      <c r="J19" s="162">
        <f t="shared" si="14"/>
        <v>0</v>
      </c>
      <c r="K19" s="162">
        <f t="shared" si="14"/>
        <v>0</v>
      </c>
      <c r="L19" s="162">
        <f t="shared" si="14"/>
        <v>0</v>
      </c>
      <c r="M19" s="48">
        <f t="shared" si="14"/>
        <v>0</v>
      </c>
      <c r="N19" s="49"/>
      <c r="O19" s="50"/>
      <c r="P19" s="47">
        <f t="shared" si="19"/>
        <v>0</v>
      </c>
      <c r="Q19" s="48">
        <f t="shared" si="19"/>
        <v>0</v>
      </c>
      <c r="R19" s="48">
        <f t="shared" si="19"/>
        <v>0</v>
      </c>
      <c r="S19" s="48">
        <f t="shared" si="19"/>
        <v>0</v>
      </c>
      <c r="T19" s="164">
        <f t="shared" si="19"/>
        <v>0</v>
      </c>
      <c r="U19" s="49"/>
      <c r="V19" s="50"/>
      <c r="W19" s="47">
        <f t="shared" si="20"/>
        <v>0</v>
      </c>
      <c r="X19" s="48">
        <f t="shared" si="20"/>
        <v>0</v>
      </c>
      <c r="Y19" s="48">
        <f t="shared" si="20"/>
        <v>0</v>
      </c>
      <c r="Z19" s="48">
        <f t="shared" si="20"/>
        <v>0</v>
      </c>
      <c r="AA19" s="164">
        <f t="shared" si="20"/>
        <v>0</v>
      </c>
      <c r="AB19" s="49"/>
      <c r="AC19" s="50"/>
      <c r="AD19" s="47">
        <f t="shared" si="21"/>
        <v>0</v>
      </c>
      <c r="AE19" s="48">
        <f t="shared" si="21"/>
        <v>0</v>
      </c>
      <c r="AF19" s="48">
        <f t="shared" si="21"/>
        <v>0</v>
      </c>
      <c r="AG19" s="48">
        <f t="shared" si="21"/>
        <v>0</v>
      </c>
      <c r="AH19" s="164">
        <f t="shared" si="21"/>
        <v>0</v>
      </c>
      <c r="AI19" s="49"/>
      <c r="AJ19" s="50"/>
      <c r="AK19" s="166">
        <f t="shared" si="22"/>
        <v>0</v>
      </c>
      <c r="AL19" s="167"/>
      <c r="AM19" s="167"/>
      <c r="AN19" s="167"/>
      <c r="AO19" s="167"/>
      <c r="AP19" s="168"/>
    </row>
    <row r="20" spans="2:52" ht="13.5" thickBot="1" x14ac:dyDescent="0.25">
      <c r="B20" s="53"/>
      <c r="D20" s="55"/>
      <c r="E20" s="2"/>
      <c r="F20" s="41"/>
      <c r="G20" s="112" t="str">
        <f>IF(E20&lt;&gt;"",SUMIF(Backlog[Dev],E20,Backlog[Coding Hours]),"")</f>
        <v/>
      </c>
      <c r="H20" s="56"/>
      <c r="I20" s="157">
        <f t="shared" si="18"/>
        <v>0</v>
      </c>
      <c r="J20" s="162">
        <f t="shared" si="14"/>
        <v>0</v>
      </c>
      <c r="K20" s="162">
        <f t="shared" si="14"/>
        <v>0</v>
      </c>
      <c r="L20" s="162">
        <f t="shared" si="14"/>
        <v>0</v>
      </c>
      <c r="M20" s="48">
        <f t="shared" si="14"/>
        <v>0</v>
      </c>
      <c r="N20" s="49"/>
      <c r="O20" s="50"/>
      <c r="P20" s="47">
        <f t="shared" si="19"/>
        <v>0</v>
      </c>
      <c r="Q20" s="48">
        <f t="shared" si="19"/>
        <v>0</v>
      </c>
      <c r="R20" s="48">
        <f t="shared" si="19"/>
        <v>0</v>
      </c>
      <c r="S20" s="48">
        <f t="shared" si="19"/>
        <v>0</v>
      </c>
      <c r="T20" s="164">
        <f t="shared" si="19"/>
        <v>0</v>
      </c>
      <c r="U20" s="49"/>
      <c r="V20" s="50"/>
      <c r="W20" s="47">
        <f t="shared" si="20"/>
        <v>0</v>
      </c>
      <c r="X20" s="48">
        <f t="shared" si="20"/>
        <v>0</v>
      </c>
      <c r="Y20" s="48">
        <f t="shared" si="20"/>
        <v>0</v>
      </c>
      <c r="Z20" s="48">
        <f t="shared" si="20"/>
        <v>0</v>
      </c>
      <c r="AA20" s="164">
        <f t="shared" si="20"/>
        <v>0</v>
      </c>
      <c r="AB20" s="49"/>
      <c r="AC20" s="50"/>
      <c r="AD20" s="47">
        <f t="shared" si="21"/>
        <v>0</v>
      </c>
      <c r="AE20" s="48">
        <f t="shared" si="21"/>
        <v>0</v>
      </c>
      <c r="AF20" s="48">
        <f t="shared" si="21"/>
        <v>0</v>
      </c>
      <c r="AG20" s="48">
        <f t="shared" si="21"/>
        <v>0</v>
      </c>
      <c r="AH20" s="164">
        <f t="shared" si="21"/>
        <v>0</v>
      </c>
      <c r="AI20" s="49"/>
      <c r="AJ20" s="50"/>
      <c r="AK20" s="166">
        <f t="shared" si="22"/>
        <v>0</v>
      </c>
      <c r="AL20" s="167"/>
      <c r="AM20" s="167"/>
      <c r="AN20" s="167"/>
      <c r="AO20" s="167"/>
      <c r="AP20" s="168"/>
    </row>
    <row r="21" spans="2:52" ht="13.5" thickBot="1" x14ac:dyDescent="0.25">
      <c r="B21" s="53"/>
      <c r="C21" s="57"/>
      <c r="D21" s="55"/>
      <c r="E21" s="2"/>
      <c r="F21" s="41"/>
      <c r="G21" s="112" t="str">
        <f>IF(E21&lt;&gt;"",SUMIF(Backlog[Dev],E21,Backlog[Coding Hours]),"")</f>
        <v/>
      </c>
      <c r="H21" s="56"/>
      <c r="I21" s="157">
        <f t="shared" si="18"/>
        <v>0</v>
      </c>
      <c r="J21" s="162">
        <f t="shared" si="14"/>
        <v>0</v>
      </c>
      <c r="K21" s="162">
        <f t="shared" si="14"/>
        <v>0</v>
      </c>
      <c r="L21" s="162">
        <f t="shared" si="14"/>
        <v>0</v>
      </c>
      <c r="M21" s="48">
        <f t="shared" si="14"/>
        <v>0</v>
      </c>
      <c r="N21" s="49"/>
      <c r="O21" s="50"/>
      <c r="P21" s="47">
        <f t="shared" si="19"/>
        <v>0</v>
      </c>
      <c r="Q21" s="48">
        <f t="shared" si="19"/>
        <v>0</v>
      </c>
      <c r="R21" s="48">
        <f t="shared" si="19"/>
        <v>0</v>
      </c>
      <c r="S21" s="48">
        <f t="shared" si="19"/>
        <v>0</v>
      </c>
      <c r="T21" s="164">
        <f t="shared" si="19"/>
        <v>0</v>
      </c>
      <c r="U21" s="49"/>
      <c r="V21" s="50"/>
      <c r="W21" s="47">
        <f t="shared" si="20"/>
        <v>0</v>
      </c>
      <c r="X21" s="48">
        <f t="shared" si="20"/>
        <v>0</v>
      </c>
      <c r="Y21" s="48">
        <f t="shared" si="20"/>
        <v>0</v>
      </c>
      <c r="Z21" s="48">
        <f t="shared" si="20"/>
        <v>0</v>
      </c>
      <c r="AA21" s="164">
        <f t="shared" si="20"/>
        <v>0</v>
      </c>
      <c r="AB21" s="49"/>
      <c r="AC21" s="50"/>
      <c r="AD21" s="47">
        <f t="shared" si="21"/>
        <v>0</v>
      </c>
      <c r="AE21" s="48">
        <f t="shared" si="21"/>
        <v>0</v>
      </c>
      <c r="AF21" s="48">
        <f t="shared" si="21"/>
        <v>0</v>
      </c>
      <c r="AG21" s="48">
        <f t="shared" si="21"/>
        <v>0</v>
      </c>
      <c r="AH21" s="164">
        <f t="shared" si="21"/>
        <v>0</v>
      </c>
      <c r="AI21" s="49"/>
      <c r="AJ21" s="50"/>
      <c r="AK21" s="166">
        <f t="shared" si="22"/>
        <v>0</v>
      </c>
      <c r="AL21" s="167"/>
      <c r="AM21" s="167"/>
      <c r="AN21" s="167"/>
      <c r="AO21" s="167"/>
      <c r="AP21" s="168"/>
    </row>
    <row r="22" spans="2:52" ht="13.5" thickBot="1" x14ac:dyDescent="0.25">
      <c r="B22" s="29"/>
      <c r="C22" s="58"/>
      <c r="D22" s="55"/>
      <c r="E22" s="2"/>
      <c r="F22" s="41"/>
      <c r="G22" s="112" t="str">
        <f>IF(E22&lt;&gt;"",SUMIF(Backlog[Dev],E22,Backlog[Coding Hours]),"")</f>
        <v/>
      </c>
      <c r="H22" s="56"/>
      <c r="I22" s="157">
        <f t="shared" si="18"/>
        <v>0</v>
      </c>
      <c r="J22" s="162">
        <f t="shared" si="14"/>
        <v>0</v>
      </c>
      <c r="K22" s="162">
        <f t="shared" si="14"/>
        <v>0</v>
      </c>
      <c r="L22" s="162">
        <f t="shared" si="14"/>
        <v>0</v>
      </c>
      <c r="M22" s="48">
        <f t="shared" si="14"/>
        <v>0</v>
      </c>
      <c r="N22" s="49"/>
      <c r="O22" s="50"/>
      <c r="P22" s="47">
        <f t="shared" si="19"/>
        <v>0</v>
      </c>
      <c r="Q22" s="48">
        <f t="shared" si="19"/>
        <v>0</v>
      </c>
      <c r="R22" s="48">
        <f t="shared" si="19"/>
        <v>0</v>
      </c>
      <c r="S22" s="48">
        <f t="shared" si="19"/>
        <v>0</v>
      </c>
      <c r="T22" s="164">
        <f t="shared" si="19"/>
        <v>0</v>
      </c>
      <c r="U22" s="49"/>
      <c r="V22" s="50"/>
      <c r="W22" s="47">
        <f t="shared" si="20"/>
        <v>0</v>
      </c>
      <c r="X22" s="48">
        <f t="shared" si="20"/>
        <v>0</v>
      </c>
      <c r="Y22" s="48">
        <f t="shared" si="20"/>
        <v>0</v>
      </c>
      <c r="Z22" s="48">
        <f t="shared" si="20"/>
        <v>0</v>
      </c>
      <c r="AA22" s="164">
        <f t="shared" si="20"/>
        <v>0</v>
      </c>
      <c r="AB22" s="49"/>
      <c r="AC22" s="50"/>
      <c r="AD22" s="47">
        <f t="shared" si="21"/>
        <v>0</v>
      </c>
      <c r="AE22" s="48">
        <f t="shared" si="21"/>
        <v>0</v>
      </c>
      <c r="AF22" s="48">
        <f t="shared" si="21"/>
        <v>0</v>
      </c>
      <c r="AG22" s="48">
        <f t="shared" si="21"/>
        <v>0</v>
      </c>
      <c r="AH22" s="164">
        <f t="shared" si="21"/>
        <v>0</v>
      </c>
      <c r="AI22" s="49"/>
      <c r="AJ22" s="50"/>
      <c r="AK22" s="166">
        <f t="shared" si="22"/>
        <v>0</v>
      </c>
      <c r="AL22" s="167"/>
      <c r="AM22" s="167"/>
      <c r="AN22" s="167"/>
      <c r="AO22" s="167"/>
      <c r="AP22" s="168"/>
    </row>
    <row r="23" spans="2:52" ht="13.5" thickBot="1" x14ac:dyDescent="0.25">
      <c r="B23" s="29"/>
      <c r="D23" s="55"/>
      <c r="E23" s="2"/>
      <c r="F23" s="141"/>
      <c r="G23" s="112" t="str">
        <f>IF(E23&lt;&gt;"",SUMIF(Backlog[Dev],E23,Backlog[Coding Hours]),"")</f>
        <v/>
      </c>
      <c r="H23" s="56"/>
      <c r="I23" s="157">
        <f t="shared" si="18"/>
        <v>0</v>
      </c>
      <c r="J23" s="162">
        <f t="shared" si="14"/>
        <v>0</v>
      </c>
      <c r="K23" s="162">
        <f t="shared" si="14"/>
        <v>0</v>
      </c>
      <c r="L23" s="162">
        <f t="shared" si="14"/>
        <v>0</v>
      </c>
      <c r="M23" s="48">
        <f t="shared" si="14"/>
        <v>0</v>
      </c>
      <c r="N23" s="49"/>
      <c r="O23" s="50"/>
      <c r="P23" s="47">
        <f t="shared" si="19"/>
        <v>0</v>
      </c>
      <c r="Q23" s="48">
        <f t="shared" si="19"/>
        <v>0</v>
      </c>
      <c r="R23" s="48">
        <f t="shared" si="19"/>
        <v>0</v>
      </c>
      <c r="S23" s="48">
        <f t="shared" si="19"/>
        <v>0</v>
      </c>
      <c r="T23" s="164">
        <f t="shared" si="19"/>
        <v>0</v>
      </c>
      <c r="U23" s="49"/>
      <c r="V23" s="50"/>
      <c r="W23" s="47">
        <f t="shared" si="20"/>
        <v>0</v>
      </c>
      <c r="X23" s="48">
        <f t="shared" si="20"/>
        <v>0</v>
      </c>
      <c r="Y23" s="48">
        <f t="shared" si="20"/>
        <v>0</v>
      </c>
      <c r="Z23" s="48">
        <f t="shared" si="20"/>
        <v>0</v>
      </c>
      <c r="AA23" s="164">
        <f t="shared" si="20"/>
        <v>0</v>
      </c>
      <c r="AB23" s="49"/>
      <c r="AC23" s="50"/>
      <c r="AD23" s="47">
        <f t="shared" si="21"/>
        <v>0</v>
      </c>
      <c r="AE23" s="48">
        <f t="shared" si="21"/>
        <v>0</v>
      </c>
      <c r="AF23" s="48">
        <f t="shared" si="21"/>
        <v>0</v>
      </c>
      <c r="AG23" s="48">
        <f t="shared" si="21"/>
        <v>0</v>
      </c>
      <c r="AH23" s="164">
        <f t="shared" si="21"/>
        <v>0</v>
      </c>
      <c r="AI23" s="49"/>
      <c r="AJ23" s="50"/>
      <c r="AK23" s="166">
        <f t="shared" si="22"/>
        <v>0</v>
      </c>
      <c r="AL23" s="167"/>
      <c r="AM23" s="167"/>
      <c r="AN23" s="167"/>
      <c r="AO23" s="167"/>
      <c r="AP23" s="168"/>
    </row>
    <row r="24" spans="2:52" ht="13.5" thickBot="1" x14ac:dyDescent="0.25">
      <c r="B24" s="53"/>
      <c r="D24" s="55"/>
      <c r="E24" s="2"/>
      <c r="F24" s="143"/>
      <c r="G24" s="112" t="str">
        <f>IF(E24&lt;&gt;"",SUMIF(Backlog[Dev],E24,Backlog[Coding Hours]),"")</f>
        <v/>
      </c>
      <c r="H24" s="56"/>
      <c r="I24" s="157">
        <f t="shared" si="18"/>
        <v>0</v>
      </c>
      <c r="J24" s="162">
        <f t="shared" si="18"/>
        <v>0</v>
      </c>
      <c r="K24" s="162">
        <f t="shared" si="18"/>
        <v>0</v>
      </c>
      <c r="L24" s="162">
        <f t="shared" si="18"/>
        <v>0</v>
      </c>
      <c r="M24" s="48">
        <f t="shared" si="18"/>
        <v>0</v>
      </c>
      <c r="N24" s="49"/>
      <c r="O24" s="50"/>
      <c r="P24" s="47">
        <f t="shared" si="19"/>
        <v>0</v>
      </c>
      <c r="Q24" s="48">
        <f t="shared" si="19"/>
        <v>0</v>
      </c>
      <c r="R24" s="48">
        <f t="shared" si="19"/>
        <v>0</v>
      </c>
      <c r="S24" s="48">
        <f t="shared" si="19"/>
        <v>0</v>
      </c>
      <c r="T24" s="164">
        <f t="shared" si="19"/>
        <v>0</v>
      </c>
      <c r="U24" s="49"/>
      <c r="V24" s="50"/>
      <c r="W24" s="47">
        <f t="shared" si="20"/>
        <v>0</v>
      </c>
      <c r="X24" s="48">
        <f t="shared" si="20"/>
        <v>0</v>
      </c>
      <c r="Y24" s="48">
        <f t="shared" si="20"/>
        <v>0</v>
      </c>
      <c r="Z24" s="48">
        <f t="shared" si="20"/>
        <v>0</v>
      </c>
      <c r="AA24" s="164">
        <f t="shared" si="20"/>
        <v>0</v>
      </c>
      <c r="AB24" s="49"/>
      <c r="AC24" s="50"/>
      <c r="AD24" s="47">
        <f t="shared" si="21"/>
        <v>0</v>
      </c>
      <c r="AE24" s="48">
        <f t="shared" si="21"/>
        <v>0</v>
      </c>
      <c r="AF24" s="48">
        <f t="shared" si="21"/>
        <v>0</v>
      </c>
      <c r="AG24" s="48">
        <f t="shared" si="21"/>
        <v>0</v>
      </c>
      <c r="AH24" s="164">
        <f t="shared" si="21"/>
        <v>0</v>
      </c>
      <c r="AI24" s="49"/>
      <c r="AJ24" s="50"/>
      <c r="AK24" s="166">
        <f t="shared" si="22"/>
        <v>0</v>
      </c>
      <c r="AL24" s="167"/>
      <c r="AM24" s="167"/>
      <c r="AN24" s="167"/>
      <c r="AO24" s="167"/>
      <c r="AP24" s="168"/>
    </row>
    <row r="25" spans="2:52" ht="13.5" thickBot="1" x14ac:dyDescent="0.25">
      <c r="B25" s="53"/>
      <c r="D25" s="55"/>
      <c r="E25" s="59"/>
      <c r="F25" s="142"/>
      <c r="G25" s="144" t="str">
        <f>IF(E25&lt;&gt;"",SUMIF(Backlog[Dev],E25,Backlog[Coding Hours]),"")</f>
        <v/>
      </c>
      <c r="H25" s="56"/>
      <c r="I25" s="157">
        <f t="shared" si="18"/>
        <v>0</v>
      </c>
      <c r="J25" s="163">
        <f t="shared" si="18"/>
        <v>0</v>
      </c>
      <c r="K25" s="163">
        <f t="shared" si="18"/>
        <v>0</v>
      </c>
      <c r="L25" s="163">
        <f t="shared" si="18"/>
        <v>0</v>
      </c>
      <c r="M25" s="160">
        <f t="shared" si="18"/>
        <v>0</v>
      </c>
      <c r="N25" s="61"/>
      <c r="O25" s="62"/>
      <c r="P25" s="47">
        <f t="shared" si="19"/>
        <v>0</v>
      </c>
      <c r="Q25" s="48">
        <f t="shared" si="19"/>
        <v>0</v>
      </c>
      <c r="R25" s="48">
        <f t="shared" si="19"/>
        <v>0</v>
      </c>
      <c r="S25" s="48">
        <f t="shared" si="19"/>
        <v>0</v>
      </c>
      <c r="T25" s="164">
        <f t="shared" si="19"/>
        <v>0</v>
      </c>
      <c r="U25" s="61"/>
      <c r="V25" s="62"/>
      <c r="W25" s="47">
        <f t="shared" si="20"/>
        <v>0</v>
      </c>
      <c r="X25" s="48">
        <f t="shared" si="20"/>
        <v>0</v>
      </c>
      <c r="Y25" s="48">
        <f t="shared" si="20"/>
        <v>0</v>
      </c>
      <c r="Z25" s="48">
        <f t="shared" si="20"/>
        <v>0</v>
      </c>
      <c r="AA25" s="164">
        <f t="shared" si="20"/>
        <v>0</v>
      </c>
      <c r="AB25" s="61"/>
      <c r="AC25" s="62"/>
      <c r="AD25" s="47">
        <f t="shared" si="21"/>
        <v>0</v>
      </c>
      <c r="AE25" s="48">
        <f t="shared" si="21"/>
        <v>0</v>
      </c>
      <c r="AF25" s="48">
        <f t="shared" si="21"/>
        <v>0</v>
      </c>
      <c r="AG25" s="48">
        <f t="shared" si="21"/>
        <v>0</v>
      </c>
      <c r="AH25" s="164">
        <f t="shared" si="21"/>
        <v>0</v>
      </c>
      <c r="AI25" s="61"/>
      <c r="AJ25" s="62"/>
      <c r="AK25" s="166">
        <f t="shared" si="22"/>
        <v>0</v>
      </c>
      <c r="AL25" s="167"/>
      <c r="AM25" s="167"/>
      <c r="AN25" s="167"/>
      <c r="AO25" s="167"/>
      <c r="AP25" s="168"/>
    </row>
    <row r="26" spans="2:52" x14ac:dyDescent="0.2">
      <c r="B26" s="53"/>
      <c r="D26" s="55"/>
      <c r="E26" s="63"/>
      <c r="F26" s="57"/>
      <c r="G26" s="64"/>
      <c r="I26" s="65"/>
      <c r="J26" s="66"/>
      <c r="K26" s="66"/>
      <c r="L26" s="66"/>
      <c r="M26" s="66"/>
      <c r="N26" s="67"/>
      <c r="O26" s="67"/>
      <c r="P26" s="66"/>
      <c r="Q26" s="66"/>
      <c r="R26" s="66"/>
      <c r="S26" s="66"/>
      <c r="T26" s="66"/>
      <c r="U26" s="67"/>
      <c r="V26" s="67"/>
      <c r="W26" s="66"/>
      <c r="X26" s="66"/>
      <c r="Y26" s="66"/>
      <c r="Z26" s="66"/>
      <c r="AA26" s="66"/>
      <c r="AB26" s="67"/>
      <c r="AC26" s="67"/>
      <c r="AD26" s="66"/>
      <c r="AE26" s="66"/>
      <c r="AF26" s="66"/>
      <c r="AG26" s="66"/>
      <c r="AH26" s="66"/>
      <c r="AI26" s="67"/>
      <c r="AJ26" s="67"/>
      <c r="AK26" s="68"/>
      <c r="AL26" s="68"/>
      <c r="AM26" s="68"/>
      <c r="AN26" s="68"/>
      <c r="AO26" s="68"/>
      <c r="AP26" s="69"/>
    </row>
    <row r="27" spans="2:52" ht="13.5" thickBot="1" x14ac:dyDescent="0.25">
      <c r="B27" s="70"/>
      <c r="C27" s="71"/>
      <c r="D27" s="71"/>
      <c r="E27" s="72"/>
      <c r="F27" s="72"/>
      <c r="G27" s="73"/>
      <c r="I27" s="74"/>
      <c r="J27" s="72"/>
      <c r="K27" s="72"/>
      <c r="L27" s="72"/>
      <c r="M27" s="75"/>
      <c r="N27" s="75"/>
      <c r="O27" s="75"/>
      <c r="P27" s="75"/>
      <c r="Q27" s="75"/>
      <c r="R27" s="72"/>
      <c r="S27" s="72"/>
      <c r="T27" s="75"/>
      <c r="U27" s="75"/>
      <c r="V27" s="75"/>
      <c r="W27" s="75"/>
      <c r="X27" s="75"/>
      <c r="Y27" s="72"/>
      <c r="Z27" s="72"/>
      <c r="AA27" s="75"/>
      <c r="AB27" s="75"/>
      <c r="AC27" s="75"/>
      <c r="AD27" s="75"/>
      <c r="AE27" s="75"/>
      <c r="AF27" s="72"/>
      <c r="AG27" s="72"/>
      <c r="AH27" s="75"/>
      <c r="AI27" s="75"/>
      <c r="AJ27" s="75"/>
      <c r="AK27" s="72"/>
      <c r="AL27" s="72"/>
      <c r="AM27" s="72"/>
      <c r="AN27" s="72"/>
      <c r="AO27" s="72"/>
      <c r="AP27" s="73"/>
    </row>
    <row r="29" spans="2:52" x14ac:dyDescent="0.2">
      <c r="I29" s="76" t="s">
        <v>16</v>
      </c>
      <c r="J29" s="4" t="s">
        <v>8</v>
      </c>
      <c r="K29" s="4" t="s">
        <v>17</v>
      </c>
      <c r="Q29" s="76" t="s">
        <v>15</v>
      </c>
      <c r="R29" s="4" t="s">
        <v>8</v>
      </c>
      <c r="S29" s="4" t="s">
        <v>18</v>
      </c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2:52" x14ac:dyDescent="0.2">
      <c r="C30" s="77"/>
      <c r="D30" s="77"/>
    </row>
    <row r="31" spans="2:52" x14ac:dyDescent="0.2">
      <c r="B31" s="55"/>
      <c r="C31" s="77"/>
      <c r="D31" s="77"/>
      <c r="E31" s="78"/>
      <c r="J31" s="1"/>
    </row>
    <row r="32" spans="2:52" x14ac:dyDescent="0.2">
      <c r="C32" s="77"/>
      <c r="D32" s="77"/>
      <c r="E32" s="78"/>
      <c r="F32" s="12"/>
    </row>
    <row r="37" spans="2:36" x14ac:dyDescent="0.2">
      <c r="I37" s="79"/>
    </row>
    <row r="38" spans="2:36" x14ac:dyDescent="0.2">
      <c r="J38" s="80"/>
      <c r="K38" s="81"/>
      <c r="L38" s="81"/>
      <c r="M38" s="81"/>
      <c r="N38" s="81"/>
      <c r="O38" s="81"/>
      <c r="Q38" s="80"/>
      <c r="R38" s="81"/>
      <c r="S38" s="81"/>
      <c r="T38" s="81"/>
      <c r="U38" s="81"/>
      <c r="V38" s="81"/>
      <c r="X38" s="80"/>
      <c r="Y38" s="81"/>
      <c r="Z38" s="81"/>
      <c r="AA38" s="81"/>
      <c r="AB38" s="81"/>
      <c r="AC38" s="81"/>
      <c r="AE38" s="80"/>
      <c r="AF38" s="81"/>
      <c r="AG38" s="81"/>
      <c r="AH38" s="81"/>
      <c r="AI38" s="81"/>
      <c r="AJ38" s="81"/>
    </row>
    <row r="40" spans="2:36" x14ac:dyDescent="0.2">
      <c r="E40" s="1"/>
    </row>
    <row r="45" spans="2:36" x14ac:dyDescent="0.2">
      <c r="B45" s="82"/>
      <c r="E45" s="79"/>
    </row>
  </sheetData>
  <mergeCells count="21">
    <mergeCell ref="B5:G5"/>
    <mergeCell ref="AK6:AP6"/>
    <mergeCell ref="AK12:AP12"/>
    <mergeCell ref="AK11:AP11"/>
    <mergeCell ref="AK7:AP7"/>
    <mergeCell ref="AK8:AP8"/>
    <mergeCell ref="AK9:AP9"/>
    <mergeCell ref="AK10:AP10"/>
    <mergeCell ref="AK20:AP20"/>
    <mergeCell ref="AK16:AP16"/>
    <mergeCell ref="AK17:AP17"/>
    <mergeCell ref="AK18:AP18"/>
    <mergeCell ref="AK13:AP13"/>
    <mergeCell ref="AK14:AP14"/>
    <mergeCell ref="AK15:AP15"/>
    <mergeCell ref="AK19:AP19"/>
    <mergeCell ref="AK21:AP21"/>
    <mergeCell ref="AK23:AP23"/>
    <mergeCell ref="AK24:AP24"/>
    <mergeCell ref="AK25:AP25"/>
    <mergeCell ref="AK22:AP22"/>
  </mergeCells>
  <phoneticPr fontId="0" type="noConversion"/>
  <conditionalFormatting sqref="AL30:AL34 AL26:AL28 J32:J34 J26:J30 I26:I34 AH26:AK34 N8:O25 K26:O34 AI8:AJ25 AD30:AG34 AD26:AG28">
    <cfRule type="cellIs" dxfId="94" priority="51" stopIfTrue="1" operator="equal">
      <formula>"DIO"</formula>
    </cfRule>
    <cfRule type="cellIs" dxfId="93" priority="52" stopIfTrue="1" operator="equal">
      <formula>"H"</formula>
    </cfRule>
    <cfRule type="cellIs" dxfId="92" priority="53" stopIfTrue="1" operator="equal">
      <formula>"V"</formula>
    </cfRule>
  </conditionalFormatting>
  <conditionalFormatting sqref="F26:F27 F8:F22">
    <cfRule type="expression" dxfId="91" priority="39" stopIfTrue="1">
      <formula>H8&gt;AL8</formula>
    </cfRule>
  </conditionalFormatting>
  <conditionalFormatting sqref="F30 F32:F33">
    <cfRule type="expression" dxfId="90" priority="42" stopIfTrue="1">
      <formula>H28&gt;AL28</formula>
    </cfRule>
  </conditionalFormatting>
  <conditionalFormatting sqref="C10">
    <cfRule type="cellIs" dxfId="89" priority="46" stopIfTrue="1" operator="greaterThan">
      <formula>0</formula>
    </cfRule>
    <cfRule type="cellIs" dxfId="88" priority="47" stopIfTrue="1" operator="lessThanOrEqual">
      <formula>0</formula>
    </cfRule>
  </conditionalFormatting>
  <conditionalFormatting sqref="C22 D14:D15 D6:D12 C6:C9">
    <cfRule type="cellIs" dxfId="87" priority="48" stopIfTrue="1" operator="equal">
      <formula>"3A"</formula>
    </cfRule>
    <cfRule type="cellIs" dxfId="86" priority="49" stopIfTrue="1" operator="equal">
      <formula>"3B"</formula>
    </cfRule>
  </conditionalFormatting>
  <conditionalFormatting sqref="G32:G34 G6">
    <cfRule type="cellIs" dxfId="85" priority="50" stopIfTrue="1" operator="equal">
      <formula>"Done"</formula>
    </cfRule>
  </conditionalFormatting>
  <conditionalFormatting sqref="I7:K7 M7:O7 AD7:AK7">
    <cfRule type="cellIs" dxfId="84" priority="54" stopIfTrue="1" operator="equal">
      <formula>"DIO"</formula>
    </cfRule>
    <cfRule type="cellIs" dxfId="83" priority="55" stopIfTrue="1" operator="equal">
      <formula>"H"</formula>
    </cfRule>
    <cfRule type="cellIs" dxfId="82" priority="56" stopIfTrue="1" operator="equal">
      <formula>"V"</formula>
    </cfRule>
  </conditionalFormatting>
  <conditionalFormatting sqref="L7">
    <cfRule type="cellIs" dxfId="81" priority="57" stopIfTrue="1" operator="equal">
      <formula>"DIO"</formula>
    </cfRule>
    <cfRule type="cellIs" dxfId="80" priority="58" stopIfTrue="1" operator="equal">
      <formula>"H"</formula>
    </cfRule>
  </conditionalFormatting>
  <conditionalFormatting sqref="P8:T25">
    <cfRule type="cellIs" dxfId="79" priority="24" stopIfTrue="1" operator="equal">
      <formula>"H"</formula>
    </cfRule>
    <cfRule type="cellIs" dxfId="78" priority="25" stopIfTrue="1" operator="equal">
      <formula>"V"</formula>
    </cfRule>
    <cfRule type="expression" dxfId="77" priority="26" stopIfTrue="1">
      <formula>IF(P$6&lt;$E$2,1,0)</formula>
    </cfRule>
  </conditionalFormatting>
  <conditionalFormatting sqref="Q29 T26:V34 U8:V25 P30:S34 P26:S28">
    <cfRule type="cellIs" dxfId="76" priority="27" stopIfTrue="1" operator="equal">
      <formula>"DIO"</formula>
    </cfRule>
    <cfRule type="cellIs" dxfId="75" priority="28" stopIfTrue="1" operator="equal">
      <formula>"H"</formula>
    </cfRule>
    <cfRule type="cellIs" dxfId="74" priority="29" stopIfTrue="1" operator="equal">
      <formula>"V"</formula>
    </cfRule>
  </conditionalFormatting>
  <conditionalFormatting sqref="P7:V7">
    <cfRule type="cellIs" dxfId="73" priority="30" stopIfTrue="1" operator="equal">
      <formula>"DIO"</formula>
    </cfRule>
    <cfRule type="cellIs" dxfId="72" priority="31" stopIfTrue="1" operator="equal">
      <formula>"H"</formula>
    </cfRule>
    <cfRule type="cellIs" dxfId="71" priority="32" stopIfTrue="1" operator="equal">
      <formula>"V"</formula>
    </cfRule>
  </conditionalFormatting>
  <conditionalFormatting sqref="W8:AA25">
    <cfRule type="cellIs" dxfId="70" priority="11" stopIfTrue="1" operator="equal">
      <formula>"H"</formula>
    </cfRule>
    <cfRule type="cellIs" dxfId="69" priority="12" stopIfTrue="1" operator="equal">
      <formula>"V"</formula>
    </cfRule>
    <cfRule type="expression" dxfId="68" priority="13" stopIfTrue="1">
      <formula>IF(W$6&lt;$E$2,1,0)</formula>
    </cfRule>
  </conditionalFormatting>
  <conditionalFormatting sqref="AA26:AC34 AB8:AC25 W30:Z34 W26:Z28">
    <cfRule type="cellIs" dxfId="67" priority="14" stopIfTrue="1" operator="equal">
      <formula>"DIO"</formula>
    </cfRule>
    <cfRule type="cellIs" dxfId="66" priority="15" stopIfTrue="1" operator="equal">
      <formula>"H"</formula>
    </cfRule>
    <cfRule type="cellIs" dxfId="65" priority="16" stopIfTrue="1" operator="equal">
      <formula>"V"</formula>
    </cfRule>
  </conditionalFormatting>
  <conditionalFormatting sqref="W7:AC7">
    <cfRule type="cellIs" dxfId="64" priority="17" stopIfTrue="1" operator="equal">
      <formula>"DIO"</formula>
    </cfRule>
    <cfRule type="cellIs" dxfId="63" priority="18" stopIfTrue="1" operator="equal">
      <formula>"H"</formula>
    </cfRule>
    <cfRule type="cellIs" dxfId="62" priority="19" stopIfTrue="1" operator="equal">
      <formula>"V"</formula>
    </cfRule>
  </conditionalFormatting>
  <conditionalFormatting sqref="F31">
    <cfRule type="expression" dxfId="61" priority="83" stopIfTrue="1">
      <formula>H29&gt;#REF!</formula>
    </cfRule>
  </conditionalFormatting>
  <conditionalFormatting sqref="F23">
    <cfRule type="expression" dxfId="60" priority="8" stopIfTrue="1">
      <formula>H23&gt;AL23</formula>
    </cfRule>
  </conditionalFormatting>
  <conditionalFormatting sqref="F24">
    <cfRule type="expression" dxfId="59" priority="6" stopIfTrue="1">
      <formula>H24&gt;AL24</formula>
    </cfRule>
  </conditionalFormatting>
  <conditionalFormatting sqref="I6:AJ6">
    <cfRule type="expression" dxfId="58" priority="4" stopIfTrue="1">
      <formula>IF(I$6-$E$2=0,1,0)</formula>
    </cfRule>
    <cfRule type="expression" dxfId="57" priority="63" stopIfTrue="1">
      <formula>I$6=TODAY()</formula>
    </cfRule>
    <cfRule type="expression" dxfId="56" priority="64" stopIfTrue="1">
      <formula>IF((I$6+1-$E$2)=$F$6,1,0)</formula>
    </cfRule>
  </conditionalFormatting>
  <conditionalFormatting sqref="I8:M25 P8:T25 W8:AA25 AD8:AH25">
    <cfRule type="expression" dxfId="55" priority="45" stopIfTrue="1">
      <formula>IF(OR(I$6&lt;$E$2,I$6&gt;$E$3),1,0)</formula>
    </cfRule>
    <cfRule type="cellIs" dxfId="54" priority="44" stopIfTrue="1" operator="equal">
      <formula>"V"</formula>
    </cfRule>
    <cfRule type="cellIs" dxfId="53" priority="43" stopIfTrue="1" operator="equal">
      <formula>"H"</formula>
    </cfRule>
  </conditionalFormatting>
  <conditionalFormatting sqref="G8:G25">
    <cfRule type="expression" dxfId="52" priority="37" stopIfTrue="1">
      <formula>AND(G8&lt;&gt;"",AK8/G8&lt;=0.11)</formula>
    </cfRule>
    <cfRule type="expression" dxfId="51" priority="38" stopIfTrue="1">
      <formula>AND(G8&lt;&gt;"",AK8/G8&lt;=0.25)</formula>
    </cfRule>
    <cfRule type="expression" dxfId="50" priority="40" stopIfTrue="1">
      <formula>AND(G8&lt;&gt;"", G8&gt;0)</formula>
    </cfRule>
  </conditionalFormatting>
  <conditionalFormatting sqref="AK8:AK25">
    <cfRule type="expression" dxfId="49" priority="1" stopIfTrue="1">
      <formula>AND(G8&lt;&gt;"",AK8/G8&lt;=0.11)</formula>
    </cfRule>
    <cfRule type="expression" dxfId="48" priority="2" stopIfTrue="1">
      <formula>AND(G8&lt;&gt;"",AK8/G8&lt;=0.25)</formula>
    </cfRule>
    <cfRule type="expression" dxfId="47" priority="3" stopIfTrue="1">
      <formula>AND(G8&lt;&gt;"", G8&gt;0)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3"/>
  <sheetViews>
    <sheetView workbookViewId="0">
      <selection activeCell="A21" sqref="A21"/>
    </sheetView>
  </sheetViews>
  <sheetFormatPr defaultRowHeight="12.75" x14ac:dyDescent="0.2"/>
  <cols>
    <col min="1" max="1" width="23.28515625" customWidth="1"/>
    <col min="2" max="2" width="10.7109375" customWidth="1"/>
    <col min="3" max="3" width="17.5703125" style="103" customWidth="1"/>
  </cols>
  <sheetData>
    <row r="1" spans="1:3" ht="15" x14ac:dyDescent="0.25">
      <c r="A1" s="108" t="s">
        <v>33</v>
      </c>
      <c r="B1" s="108" t="s">
        <v>35</v>
      </c>
      <c r="C1" s="108" t="s">
        <v>36</v>
      </c>
    </row>
    <row r="2" spans="1:3" ht="15" x14ac:dyDescent="0.25">
      <c r="A2" s="115" t="s">
        <v>41</v>
      </c>
      <c r="B2" s="105">
        <f>COUNTIF(Backlog[Type], A2)</f>
        <v>1</v>
      </c>
      <c r="C2" s="104">
        <f>IF(B6&lt;&gt;0,B2/$B$6,"")</f>
        <v>0.5</v>
      </c>
    </row>
    <row r="3" spans="1:3" ht="15" x14ac:dyDescent="0.25">
      <c r="A3" s="115" t="s">
        <v>40</v>
      </c>
      <c r="B3" s="105">
        <f>COUNTIF(Backlog[Type], A3)</f>
        <v>0</v>
      </c>
      <c r="C3" s="104">
        <f>IF(B6&lt;&gt;0,B3/$B$6,"")</f>
        <v>0</v>
      </c>
    </row>
    <row r="4" spans="1:3" ht="15" x14ac:dyDescent="0.25">
      <c r="A4" s="115" t="s">
        <v>42</v>
      </c>
      <c r="B4" s="105">
        <f>COUNTIF(Backlog[Type], A4)</f>
        <v>0</v>
      </c>
      <c r="C4" s="104">
        <f>IF(B6&lt;&gt;0,B4/$B$6,"")</f>
        <v>0</v>
      </c>
    </row>
    <row r="5" spans="1:3" ht="15" x14ac:dyDescent="0.25">
      <c r="A5" s="115" t="s">
        <v>32</v>
      </c>
      <c r="B5" s="105">
        <f>COUNTIF(Backlog[Type], A5)</f>
        <v>1</v>
      </c>
      <c r="C5" s="104">
        <f>IF(B6&lt;&gt;0,B5/$B$6,"")</f>
        <v>0.5</v>
      </c>
    </row>
    <row r="6" spans="1:3" ht="15" x14ac:dyDescent="0.25">
      <c r="A6" s="107" t="s">
        <v>27</v>
      </c>
      <c r="B6" s="106">
        <f>SUM(B2:B5)</f>
        <v>2</v>
      </c>
      <c r="C6" s="109">
        <f>SUM(C2:C5)</f>
        <v>1</v>
      </c>
    </row>
    <row r="7" spans="1:3" ht="15" x14ac:dyDescent="0.25">
      <c r="A7" s="102"/>
      <c r="B7" s="102"/>
    </row>
    <row r="8" spans="1:3" ht="15" x14ac:dyDescent="0.25">
      <c r="A8" s="108" t="s">
        <v>34</v>
      </c>
      <c r="B8" s="108" t="s">
        <v>35</v>
      </c>
      <c r="C8" s="108" t="s">
        <v>36</v>
      </c>
    </row>
    <row r="9" spans="1:3" ht="15" x14ac:dyDescent="0.25">
      <c r="A9" s="114" t="s">
        <v>63</v>
      </c>
      <c r="B9" s="105">
        <f>COUNTIF(Backlog[Area], A9)</f>
        <v>0</v>
      </c>
      <c r="C9" s="104">
        <f>IF(B25&lt;&gt;0,B9/$B$25,"")</f>
        <v>0</v>
      </c>
    </row>
    <row r="10" spans="1:3" ht="15" x14ac:dyDescent="0.25">
      <c r="A10" s="114" t="s">
        <v>64</v>
      </c>
      <c r="B10" s="105">
        <f>COUNTIF(Backlog[Area], A10)</f>
        <v>0</v>
      </c>
      <c r="C10" s="104">
        <f>IF(B25&lt;&gt;0,B10/$B$25,"")</f>
        <v>0</v>
      </c>
    </row>
    <row r="11" spans="1:3" ht="15" x14ac:dyDescent="0.25">
      <c r="A11" s="114" t="s">
        <v>65</v>
      </c>
      <c r="B11" s="105">
        <f>COUNTIF(Backlog[Area], A11)</f>
        <v>0</v>
      </c>
      <c r="C11" s="104">
        <f>IF(B25&lt;&gt;0,B11/$B$25,"")</f>
        <v>0</v>
      </c>
    </row>
    <row r="12" spans="1:3" ht="15" x14ac:dyDescent="0.25">
      <c r="A12" s="114" t="s">
        <v>66</v>
      </c>
      <c r="B12" s="105">
        <f>COUNTIF(Backlog[Area], A12)</f>
        <v>0</v>
      </c>
      <c r="C12" s="104">
        <f>IF(B25&lt;&gt;0,B12/$B$25,"")</f>
        <v>0</v>
      </c>
    </row>
    <row r="13" spans="1:3" ht="15" x14ac:dyDescent="0.25">
      <c r="A13" s="114" t="s">
        <v>67</v>
      </c>
      <c r="B13" s="105">
        <f>COUNTIF(Backlog[Area], A13)</f>
        <v>0</v>
      </c>
      <c r="C13" s="104">
        <f>IF(B25&lt;&gt;0,B13/$B$25,"")</f>
        <v>0</v>
      </c>
    </row>
    <row r="14" spans="1:3" ht="15" x14ac:dyDescent="0.25">
      <c r="A14" s="114" t="s">
        <v>68</v>
      </c>
      <c r="B14" s="105">
        <f>COUNTIF(Backlog[Area], A14)</f>
        <v>0</v>
      </c>
      <c r="C14" s="104">
        <f>IF(B25&lt;&gt;0,B14/$B$25,"")</f>
        <v>0</v>
      </c>
    </row>
    <row r="15" spans="1:3" ht="15" x14ac:dyDescent="0.25">
      <c r="A15" s="114" t="s">
        <v>69</v>
      </c>
      <c r="B15" s="105">
        <f>COUNTIF(Backlog[Area], A15)</f>
        <v>0</v>
      </c>
      <c r="C15" s="104">
        <f>IF(B25&lt;&gt;0,B15/$B$25,"")</f>
        <v>0</v>
      </c>
    </row>
    <row r="16" spans="1:3" ht="15" x14ac:dyDescent="0.25">
      <c r="A16" s="114" t="s">
        <v>70</v>
      </c>
      <c r="B16" s="105">
        <f>COUNTIF(Backlog[Area], A16)</f>
        <v>0</v>
      </c>
      <c r="C16" s="104">
        <f>IF(B25&lt;&gt;0,B16/$B$25,"")</f>
        <v>0</v>
      </c>
    </row>
    <row r="17" spans="1:3" ht="15" x14ac:dyDescent="0.25">
      <c r="A17" s="114" t="s">
        <v>71</v>
      </c>
      <c r="B17" s="105">
        <f>COUNTIF(Backlog[Area], A17)</f>
        <v>1</v>
      </c>
      <c r="C17" s="104">
        <f>IF(B25&lt;&gt;0,B17/$B$25,"")</f>
        <v>0.5</v>
      </c>
    </row>
    <row r="18" spans="1:3" ht="15" x14ac:dyDescent="0.25">
      <c r="A18" s="114" t="s">
        <v>72</v>
      </c>
      <c r="B18" s="105">
        <f>COUNTIF(Backlog[Area], A18)</f>
        <v>1</v>
      </c>
      <c r="C18" s="104">
        <f>IF(B25&lt;&gt;0,B18/$B$25,"")</f>
        <v>0.5</v>
      </c>
    </row>
    <row r="19" spans="1:3" ht="15" x14ac:dyDescent="0.25">
      <c r="A19" s="114" t="s">
        <v>73</v>
      </c>
      <c r="B19" s="105">
        <f>COUNTIF(Backlog[Area], A19)</f>
        <v>0</v>
      </c>
      <c r="C19" s="104">
        <f>IF(B25&lt;&gt;0,B19/$B$25,"")</f>
        <v>0</v>
      </c>
    </row>
    <row r="20" spans="1:3" ht="15" x14ac:dyDescent="0.25">
      <c r="A20" s="115"/>
      <c r="B20" s="105">
        <f>COUNTIF(Backlog[Area], A20)</f>
        <v>0</v>
      </c>
      <c r="C20" s="104">
        <f>IF(B25&lt;&gt;0,B20/$B$25,"")</f>
        <v>0</v>
      </c>
    </row>
    <row r="21" spans="1:3" ht="15" x14ac:dyDescent="0.25">
      <c r="A21" s="115"/>
      <c r="B21" s="105">
        <f>COUNTIF(Backlog[Area], A21)</f>
        <v>0</v>
      </c>
      <c r="C21" s="104">
        <f>IF(B25&lt;&gt;0,B21/$B$25,"")</f>
        <v>0</v>
      </c>
    </row>
    <row r="22" spans="1:3" ht="15" x14ac:dyDescent="0.25">
      <c r="A22" s="115"/>
      <c r="B22" s="105">
        <f>COUNTIF(Backlog[Area], A22)</f>
        <v>0</v>
      </c>
      <c r="C22" s="104">
        <f>IF(B25&lt;&gt;0,B22/$B$25,"")</f>
        <v>0</v>
      </c>
    </row>
    <row r="23" spans="1:3" ht="15" x14ac:dyDescent="0.25">
      <c r="A23" s="115"/>
      <c r="B23" s="105">
        <f>COUNTIF(Backlog[Area], A23)</f>
        <v>0</v>
      </c>
      <c r="C23" s="104">
        <f>IF(B25&lt;&gt;0,B23/$B$25,"")</f>
        <v>0</v>
      </c>
    </row>
    <row r="24" spans="1:3" ht="15" x14ac:dyDescent="0.25">
      <c r="A24" s="115"/>
      <c r="B24" s="105">
        <f>COUNTIF(Backlog[Area], A24)</f>
        <v>0</v>
      </c>
      <c r="C24" s="104">
        <f>IF(B25&lt;&gt;0,B24/$B$25,"")</f>
        <v>0</v>
      </c>
    </row>
    <row r="25" spans="1:3" ht="15" x14ac:dyDescent="0.25">
      <c r="A25" s="107" t="s">
        <v>27</v>
      </c>
      <c r="B25" s="107">
        <f>SUM(B9:B24)</f>
        <v>2</v>
      </c>
      <c r="C25" s="109">
        <f>SUM(C9:C24)</f>
        <v>1</v>
      </c>
    </row>
    <row r="27" spans="1:3" ht="15" x14ac:dyDescent="0.25">
      <c r="A27" s="108" t="s">
        <v>26</v>
      </c>
      <c r="B27" s="108" t="s">
        <v>35</v>
      </c>
      <c r="C27" s="108" t="s">
        <v>36</v>
      </c>
    </row>
    <row r="28" spans="1:3" ht="15" x14ac:dyDescent="0.25">
      <c r="A28" s="115" t="s">
        <v>28</v>
      </c>
      <c r="B28" s="105">
        <f>COUNTIF(Backlog[Status], A28)</f>
        <v>0</v>
      </c>
      <c r="C28" s="104">
        <f>IF(B33&lt;&gt;0,B28/$B$33,"")</f>
        <v>0</v>
      </c>
    </row>
    <row r="29" spans="1:3" ht="15" x14ac:dyDescent="0.25">
      <c r="A29" s="115" t="s">
        <v>29</v>
      </c>
      <c r="B29" s="105">
        <f>COUNTIF(Backlog[Status], A29)</f>
        <v>2</v>
      </c>
      <c r="C29" s="104">
        <f>IF(B33&lt;&gt;0,B29/$B$33,"")</f>
        <v>1</v>
      </c>
    </row>
    <row r="30" spans="1:3" ht="15" x14ac:dyDescent="0.25">
      <c r="A30" s="115" t="s">
        <v>30</v>
      </c>
      <c r="B30" s="105">
        <f>COUNTIF(Backlog[Status], A30)</f>
        <v>0</v>
      </c>
      <c r="C30" s="104">
        <f>IF(B33&lt;&gt;0,B30/$B$33,"")</f>
        <v>0</v>
      </c>
    </row>
    <row r="31" spans="1:3" ht="15" x14ac:dyDescent="0.25">
      <c r="A31" s="115" t="s">
        <v>25</v>
      </c>
      <c r="B31" s="105">
        <f>COUNTIF(Backlog[Status], A31)</f>
        <v>0</v>
      </c>
      <c r="C31" s="104">
        <f>IF(B33&lt;&gt;0,B31/$B$33,"")</f>
        <v>0</v>
      </c>
    </row>
    <row r="32" spans="1:3" ht="15" x14ac:dyDescent="0.25">
      <c r="A32" s="116" t="s">
        <v>31</v>
      </c>
      <c r="B32" s="105">
        <f>COUNTIF(Backlog[Status], A32)</f>
        <v>0</v>
      </c>
      <c r="C32" s="104">
        <f>IF(B33&lt;&gt;0,B32/$B$33,"")</f>
        <v>0</v>
      </c>
    </row>
    <row r="33" spans="1:3" ht="15" x14ac:dyDescent="0.25">
      <c r="A33" s="110" t="s">
        <v>27</v>
      </c>
      <c r="B33" s="111">
        <f>SUM(B28:B32)</f>
        <v>2</v>
      </c>
      <c r="C33" s="109">
        <f>SUM(C28:C32)</f>
        <v>1</v>
      </c>
    </row>
  </sheetData>
  <phoneticPr fontId="27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H51"/>
  <sheetViews>
    <sheetView workbookViewId="0">
      <selection activeCell="D30" sqref="D30"/>
    </sheetView>
  </sheetViews>
  <sheetFormatPr defaultRowHeight="12.75" x14ac:dyDescent="0.2"/>
  <cols>
    <col min="1" max="1" width="2.7109375" style="4" customWidth="1"/>
    <col min="2" max="2" width="18.42578125" style="4" bestFit="1" customWidth="1"/>
    <col min="3" max="3" width="14.140625" style="4" bestFit="1" customWidth="1"/>
    <col min="4" max="4" width="20.85546875" style="4" customWidth="1"/>
    <col min="5" max="6" width="15.140625" style="4" bestFit="1" customWidth="1"/>
    <col min="7" max="7" width="68" style="4" customWidth="1"/>
    <col min="8" max="8" width="2.85546875" style="4" bestFit="1" customWidth="1"/>
    <col min="9" max="16384" width="9.140625" style="4"/>
  </cols>
  <sheetData>
    <row r="4" spans="2:7" x14ac:dyDescent="0.2">
      <c r="B4" s="83" t="s">
        <v>21</v>
      </c>
    </row>
    <row r="5" spans="2:7" ht="13.5" thickBot="1" x14ac:dyDescent="0.25"/>
    <row r="6" spans="2:7" ht="14.25" thickTop="1" thickBot="1" x14ac:dyDescent="0.25">
      <c r="B6" s="83" t="s">
        <v>9</v>
      </c>
      <c r="C6" s="84" t="s">
        <v>24</v>
      </c>
      <c r="D6" s="85" t="s">
        <v>22</v>
      </c>
      <c r="E6" s="86" t="s">
        <v>37</v>
      </c>
      <c r="F6" s="87" t="s">
        <v>23</v>
      </c>
      <c r="G6" s="88" t="s">
        <v>38</v>
      </c>
    </row>
    <row r="7" spans="2:7" ht="13.5" thickTop="1" x14ac:dyDescent="0.2">
      <c r="C7" s="89"/>
      <c r="D7" s="90" t="s">
        <v>14</v>
      </c>
      <c r="E7" s="91"/>
      <c r="F7" s="92"/>
      <c r="G7" s="93"/>
    </row>
    <row r="8" spans="2:7" x14ac:dyDescent="0.2">
      <c r="C8" s="113" t="s">
        <v>58</v>
      </c>
      <c r="D8" s="95"/>
      <c r="E8" s="95"/>
      <c r="F8" s="96"/>
      <c r="G8" s="95"/>
    </row>
    <row r="9" spans="2:7" x14ac:dyDescent="0.2">
      <c r="C9" s="113" t="s">
        <v>60</v>
      </c>
      <c r="D9" s="95"/>
      <c r="E9" s="95"/>
      <c r="F9" s="96"/>
      <c r="G9" s="95"/>
    </row>
    <row r="10" spans="2:7" ht="11.25" customHeight="1" x14ac:dyDescent="0.2">
      <c r="C10" s="113" t="s">
        <v>62</v>
      </c>
      <c r="D10" s="95"/>
      <c r="E10" s="95"/>
      <c r="F10" s="96"/>
      <c r="G10" s="95"/>
    </row>
    <row r="11" spans="2:7" x14ac:dyDescent="0.2">
      <c r="C11" s="113" t="s">
        <v>77</v>
      </c>
      <c r="D11" s="95"/>
      <c r="E11" s="95"/>
      <c r="F11" s="96"/>
      <c r="G11" s="95"/>
    </row>
    <row r="12" spans="2:7" x14ac:dyDescent="0.2">
      <c r="C12" s="113"/>
      <c r="D12" s="95"/>
      <c r="E12" s="95"/>
      <c r="F12" s="96"/>
      <c r="G12" s="95"/>
    </row>
    <row r="13" spans="2:7" x14ac:dyDescent="0.2">
      <c r="C13" s="113"/>
      <c r="D13" s="95"/>
      <c r="E13" s="95"/>
      <c r="F13" s="96"/>
      <c r="G13" s="95"/>
    </row>
    <row r="14" spans="2:7" x14ac:dyDescent="0.2">
      <c r="C14" s="113"/>
      <c r="D14" s="95"/>
      <c r="E14" s="95"/>
      <c r="F14" s="96"/>
      <c r="G14" s="95"/>
    </row>
    <row r="15" spans="2:7" x14ac:dyDescent="0.2">
      <c r="C15" s="113"/>
      <c r="D15" s="95"/>
      <c r="E15" s="95"/>
      <c r="F15" s="96"/>
      <c r="G15" s="95"/>
    </row>
    <row r="16" spans="2:7" x14ac:dyDescent="0.2">
      <c r="C16" s="113"/>
      <c r="D16" s="95"/>
      <c r="E16" s="95"/>
      <c r="F16" s="96"/>
      <c r="G16" s="95"/>
    </row>
    <row r="17" spans="3:7" x14ac:dyDescent="0.2">
      <c r="C17" s="113"/>
      <c r="D17" s="95"/>
      <c r="E17" s="95"/>
      <c r="F17" s="96"/>
      <c r="G17" s="95"/>
    </row>
    <row r="18" spans="3:7" x14ac:dyDescent="0.2">
      <c r="C18" s="113"/>
      <c r="D18" s="95"/>
      <c r="E18" s="95"/>
      <c r="F18" s="96"/>
      <c r="G18" s="95"/>
    </row>
    <row r="19" spans="3:7" x14ac:dyDescent="0.2">
      <c r="C19" s="113"/>
      <c r="D19" s="95"/>
      <c r="E19" s="95"/>
      <c r="F19" s="96"/>
      <c r="G19" s="95"/>
    </row>
    <row r="20" spans="3:7" x14ac:dyDescent="0.2">
      <c r="C20" s="113"/>
      <c r="D20" s="95"/>
      <c r="E20" s="95"/>
      <c r="F20" s="96"/>
      <c r="G20" s="95"/>
    </row>
    <row r="21" spans="3:7" x14ac:dyDescent="0.2">
      <c r="C21" s="113"/>
      <c r="D21" s="95"/>
      <c r="E21" s="95"/>
      <c r="F21" s="96"/>
      <c r="G21" s="95"/>
    </row>
    <row r="22" spans="3:7" x14ac:dyDescent="0.2">
      <c r="C22" s="113"/>
      <c r="D22" s="95"/>
      <c r="E22" s="95"/>
      <c r="F22" s="96"/>
      <c r="G22" s="95"/>
    </row>
    <row r="23" spans="3:7" x14ac:dyDescent="0.2">
      <c r="C23" s="94"/>
      <c r="D23" s="95"/>
      <c r="E23" s="95"/>
      <c r="F23" s="96"/>
      <c r="G23" s="95"/>
    </row>
    <row r="24" spans="3:7" x14ac:dyDescent="0.2">
      <c r="C24" s="94"/>
      <c r="D24" s="95"/>
      <c r="E24" s="95"/>
      <c r="F24" s="96"/>
      <c r="G24" s="95"/>
    </row>
    <row r="25" spans="3:7" ht="13.5" thickBot="1" x14ac:dyDescent="0.25">
      <c r="C25" s="97"/>
      <c r="D25" s="98"/>
      <c r="E25" s="98"/>
      <c r="F25" s="99"/>
      <c r="G25" s="100"/>
    </row>
    <row r="26" spans="3:7" ht="13.5" thickTop="1" x14ac:dyDescent="0.2"/>
    <row r="41" spans="7:8" x14ac:dyDescent="0.2">
      <c r="H41" s="101"/>
    </row>
    <row r="43" spans="7:8" x14ac:dyDescent="0.2">
      <c r="G43" s="101"/>
      <c r="H43" s="101"/>
    </row>
    <row r="51" spans="4:4" x14ac:dyDescent="0.2">
      <c r="D51" s="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Sprint</vt:lpstr>
      <vt:lpstr>Capacity</vt:lpstr>
      <vt:lpstr>Project Specific Reports</vt:lpstr>
      <vt:lpstr>Team Roster</vt:lpstr>
      <vt:lpstr>Deliverable</vt:lpstr>
      <vt:lpstr>Capacity!Print_Area</vt:lpstr>
      <vt:lpstr>SprintDue</vt:lpstr>
      <vt:lpstr>SprintStart</vt:lpstr>
      <vt:lpstr>Start_Date</vt:lpstr>
      <vt:lpstr>Status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vzzx朱祖鑫</cp:lastModifiedBy>
  <cp:revision>1</cp:revision>
  <cp:lastPrinted>2005-08-15T09:18:22Z</cp:lastPrinted>
  <dcterms:created xsi:type="dcterms:W3CDTF">2005-01-26T21:50:47Z</dcterms:created>
  <dcterms:modified xsi:type="dcterms:W3CDTF">2016-10-12T04:33:29Z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