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127"/>
  <workbookPr codeName="ThisWorkbook" defaultThemeVersion="123820"/>
  <mc:AlternateContent xmlns:mc="http://schemas.openxmlformats.org/markup-compatibility/2006">
    <mc:Choice Requires="x15">
      <x15ac:absPath xmlns:x15ac="http://schemas.microsoft.com/office/spreadsheetml/2010/11/ac" url="D:\Project\Hotel\Docs\Template\"/>
    </mc:Choice>
  </mc:AlternateContent>
  <bookViews>
    <workbookView xWindow="750" yWindow="1200" windowWidth="14640" windowHeight="6225" tabRatio="620"/>
  </bookViews>
  <sheets>
    <sheet name="Sprint" sheetId="7" r:id="rId1"/>
    <sheet name="Capacity" sheetId="6" r:id="rId2"/>
    <sheet name="Project Specific Reports" sheetId="9" r:id="rId3"/>
    <sheet name="Team Roster" sheetId="5" r:id="rId4"/>
  </sheets>
  <definedNames>
    <definedName name="_xlnm._FilterDatabase" localSheetId="0" hidden="1">Sprint!$A$1:$M$66</definedName>
    <definedName name="Deliverable">'Project Specific Reports'!$A$9:$A$24</definedName>
    <definedName name="Members" localSheetId="0">OFFSET('Team Roster'!$C$8,0,0,COUNTA('Team Roster'!$C:$C)-1,1)</definedName>
    <definedName name="Members">OFFSET('Team Roster'!$C$8,0,0,COUNTA('Team Roster'!$C:$C)-1,1)</definedName>
    <definedName name="_xlnm.Print_Area" localSheetId="1">Capacity!$A$4:$AB$33</definedName>
    <definedName name="SprintStart">Capacity!$E$3</definedName>
    <definedName name="Start_Date">Capacity!$E$3</definedName>
    <definedName name="Status">'Project Specific Reports'!$A$28:$A$32</definedName>
    <definedName name="Worktype">'Project Specific Reports'!$A$2:$A$5</definedName>
  </definedNames>
  <calcPr calcId="162913"/>
</workbook>
</file>

<file path=xl/calcChain.xml><?xml version="1.0" encoding="utf-8"?>
<calcChain xmlns="http://schemas.openxmlformats.org/spreadsheetml/2006/main">
  <c r="G67" i="7" l="1"/>
  <c r="B29" i="9"/>
  <c r="B30" i="9"/>
  <c r="B31" i="9"/>
  <c r="B32" i="9"/>
  <c r="B28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9" i="9"/>
  <c r="B3" i="9"/>
  <c r="B4" i="9"/>
  <c r="B5" i="9"/>
  <c r="B2" i="9"/>
  <c r="G8" i="6"/>
  <c r="G9" i="6"/>
  <c r="G10" i="6"/>
  <c r="G11" i="6"/>
  <c r="G12" i="6"/>
  <c r="G13" i="6"/>
  <c r="G14" i="6"/>
  <c r="G15" i="6"/>
  <c r="G16" i="6"/>
  <c r="G17" i="6"/>
  <c r="G18" i="6"/>
  <c r="G19" i="6"/>
  <c r="G20" i="6"/>
  <c r="G21" i="6"/>
  <c r="G22" i="6"/>
  <c r="G23" i="6"/>
  <c r="G24" i="6"/>
  <c r="G25" i="6"/>
  <c r="I8" i="6" l="1"/>
  <c r="W23" i="6" l="1"/>
  <c r="W24" i="6"/>
  <c r="W25" i="6"/>
  <c r="B6" i="9" l="1"/>
  <c r="D2" i="6"/>
  <c r="D3" i="6"/>
  <c r="I6" i="6" s="1"/>
  <c r="C4" i="9" l="1"/>
  <c r="C5" i="9"/>
  <c r="C3" i="9"/>
  <c r="C2" i="9"/>
  <c r="P6" i="6"/>
  <c r="I25" i="6"/>
  <c r="I22" i="6"/>
  <c r="I21" i="6"/>
  <c r="I19" i="6"/>
  <c r="I17" i="6"/>
  <c r="I16" i="6"/>
  <c r="I9" i="6"/>
  <c r="I10" i="6"/>
  <c r="I12" i="6"/>
  <c r="I15" i="6"/>
  <c r="J6" i="6"/>
  <c r="I23" i="6"/>
  <c r="I24" i="6"/>
  <c r="I20" i="6"/>
  <c r="I18" i="6"/>
  <c r="I13" i="6"/>
  <c r="I11" i="6"/>
  <c r="I14" i="6"/>
  <c r="C8" i="6"/>
  <c r="P22" i="6" l="1"/>
  <c r="P24" i="6"/>
  <c r="P20" i="6"/>
  <c r="P14" i="6"/>
  <c r="P12" i="6"/>
  <c r="P15" i="6"/>
  <c r="P9" i="6"/>
  <c r="P18" i="6"/>
  <c r="Q6" i="6"/>
  <c r="P25" i="6"/>
  <c r="P21" i="6"/>
  <c r="P23" i="6"/>
  <c r="P19" i="6"/>
  <c r="P10" i="6"/>
  <c r="P11" i="6"/>
  <c r="P8" i="6"/>
  <c r="P16" i="6"/>
  <c r="P13" i="6"/>
  <c r="P17" i="6"/>
  <c r="J13" i="6"/>
  <c r="J15" i="6"/>
  <c r="J10" i="6"/>
  <c r="J11" i="6"/>
  <c r="J18" i="6"/>
  <c r="J23" i="6"/>
  <c r="J22" i="6"/>
  <c r="J24" i="6"/>
  <c r="J19" i="6"/>
  <c r="J16" i="6"/>
  <c r="J17" i="6"/>
  <c r="J14" i="6"/>
  <c r="J12" i="6"/>
  <c r="J8" i="6"/>
  <c r="J9" i="6"/>
  <c r="K6" i="6"/>
  <c r="J25" i="6"/>
  <c r="J21" i="6"/>
  <c r="J20" i="6"/>
  <c r="Q18" i="6" l="1"/>
  <c r="R6" i="6"/>
  <c r="Q25" i="6"/>
  <c r="Q22" i="6"/>
  <c r="Q21" i="6"/>
  <c r="Q19" i="6"/>
  <c r="Q9" i="6"/>
  <c r="Q12" i="6"/>
  <c r="Q15" i="6"/>
  <c r="Q10" i="6"/>
  <c r="Q17" i="6"/>
  <c r="Q23" i="6"/>
  <c r="Q24" i="6"/>
  <c r="Q20" i="6"/>
  <c r="Q8" i="6"/>
  <c r="Q13" i="6"/>
  <c r="Q11" i="6"/>
  <c r="Q14" i="6"/>
  <c r="Q16" i="6"/>
  <c r="K8" i="6"/>
  <c r="K16" i="6"/>
  <c r="K15" i="6"/>
  <c r="K9" i="6"/>
  <c r="K12" i="6"/>
  <c r="K25" i="6"/>
  <c r="K20" i="6"/>
  <c r="K23" i="6"/>
  <c r="K19" i="6"/>
  <c r="K17" i="6"/>
  <c r="K18" i="6"/>
  <c r="K11" i="6"/>
  <c r="K13" i="6"/>
  <c r="K14" i="6"/>
  <c r="K10" i="6"/>
  <c r="K24" i="6"/>
  <c r="K22" i="6"/>
  <c r="L6" i="6"/>
  <c r="K21" i="6"/>
  <c r="R22" i="6" l="1"/>
  <c r="R24" i="6"/>
  <c r="R20" i="6"/>
  <c r="R15" i="6"/>
  <c r="R10" i="6"/>
  <c r="R13" i="6"/>
  <c r="R12" i="6"/>
  <c r="R18" i="6"/>
  <c r="S6" i="6"/>
  <c r="R25" i="6"/>
  <c r="R21" i="6"/>
  <c r="R23" i="6"/>
  <c r="R19" i="6"/>
  <c r="R11" i="6"/>
  <c r="R16" i="6"/>
  <c r="R17" i="6"/>
  <c r="R9" i="6"/>
  <c r="R14" i="6"/>
  <c r="R8" i="6"/>
  <c r="L18" i="6"/>
  <c r="L16" i="6"/>
  <c r="L12" i="6"/>
  <c r="L13" i="6"/>
  <c r="L11" i="6"/>
  <c r="L9" i="6"/>
  <c r="M6" i="6"/>
  <c r="L22" i="6"/>
  <c r="L24" i="6"/>
  <c r="L20" i="6"/>
  <c r="L8" i="6"/>
  <c r="L15" i="6"/>
  <c r="L14" i="6"/>
  <c r="L10" i="6"/>
  <c r="L17" i="6"/>
  <c r="L25" i="6"/>
  <c r="L21" i="6"/>
  <c r="L23" i="6"/>
  <c r="L19" i="6"/>
  <c r="M18" i="6" l="1"/>
  <c r="M17" i="6"/>
  <c r="M8" i="6"/>
  <c r="M11" i="6"/>
  <c r="M9" i="6"/>
  <c r="M24" i="6"/>
  <c r="M25" i="6"/>
  <c r="M23" i="6"/>
  <c r="N6" i="6"/>
  <c r="O6" i="6" s="1"/>
  <c r="M10" i="6"/>
  <c r="M14" i="6"/>
  <c r="M15" i="6"/>
  <c r="M13" i="6"/>
  <c r="M12" i="6"/>
  <c r="M16" i="6"/>
  <c r="M21" i="6"/>
  <c r="M20" i="6"/>
  <c r="M22" i="6"/>
  <c r="M19" i="6"/>
  <c r="S18" i="6"/>
  <c r="T6" i="6"/>
  <c r="S25" i="6"/>
  <c r="S24" i="6"/>
  <c r="S21" i="6"/>
  <c r="S19" i="6"/>
  <c r="S10" i="6"/>
  <c r="S8" i="6"/>
  <c r="S17" i="6"/>
  <c r="S13" i="6"/>
  <c r="S15" i="6"/>
  <c r="S16" i="6"/>
  <c r="S22" i="6"/>
  <c r="S23" i="6"/>
  <c r="S20" i="6"/>
  <c r="S9" i="6"/>
  <c r="S12" i="6"/>
  <c r="S11" i="6"/>
  <c r="S14" i="6"/>
  <c r="T23" i="6" l="1"/>
  <c r="T21" i="6"/>
  <c r="W21" i="6" s="1"/>
  <c r="T20" i="6"/>
  <c r="W20" i="6" s="1"/>
  <c r="U6" i="6"/>
  <c r="V6" i="6" s="1"/>
  <c r="T16" i="6"/>
  <c r="W16" i="6" s="1"/>
  <c r="T11" i="6"/>
  <c r="W11" i="6" s="1"/>
  <c r="T8" i="6"/>
  <c r="W8" i="6" s="1"/>
  <c r="T10" i="6"/>
  <c r="W10" i="6" s="1"/>
  <c r="T13" i="6"/>
  <c r="W13" i="6" s="1"/>
  <c r="T17" i="6"/>
  <c r="W17" i="6" s="1"/>
  <c r="T18" i="6"/>
  <c r="W18" i="6" s="1"/>
  <c r="T25" i="6"/>
  <c r="T22" i="6"/>
  <c r="W22" i="6" s="1"/>
  <c r="T24" i="6"/>
  <c r="T19" i="6"/>
  <c r="W19" i="6" s="1"/>
  <c r="T14" i="6"/>
  <c r="W14" i="6" s="1"/>
  <c r="T12" i="6"/>
  <c r="W12" i="6" s="1"/>
  <c r="T15" i="6"/>
  <c r="W15" i="6" s="1"/>
  <c r="T9" i="6"/>
  <c r="W9" i="6" s="1"/>
  <c r="C9" i="6" l="1"/>
  <c r="C10" i="6" s="1"/>
  <c r="B33" i="9" l="1"/>
  <c r="C32" i="9" l="1"/>
  <c r="C30" i="9"/>
  <c r="C29" i="9"/>
  <c r="C31" i="9"/>
  <c r="C28" i="9"/>
  <c r="C33" i="9" l="1"/>
  <c r="C6" i="9"/>
  <c r="B25" i="9"/>
  <c r="C24" i="9" l="1"/>
  <c r="C20" i="9"/>
  <c r="C16" i="9"/>
  <c r="C12" i="9"/>
  <c r="C17" i="9"/>
  <c r="C13" i="9"/>
  <c r="C23" i="9"/>
  <c r="C19" i="9"/>
  <c r="C15" i="9"/>
  <c r="C11" i="9"/>
  <c r="C9" i="9"/>
  <c r="C22" i="9"/>
  <c r="C18" i="9"/>
  <c r="C14" i="9"/>
  <c r="C10" i="9"/>
  <c r="C21" i="9"/>
  <c r="C25" i="9" l="1"/>
</calcChain>
</file>

<file path=xl/sharedStrings.xml><?xml version="1.0" encoding="utf-8"?>
<sst xmlns="http://schemas.openxmlformats.org/spreadsheetml/2006/main" count="131" uniqueCount="100">
  <si>
    <t>M</t>
  </si>
  <si>
    <t>S</t>
  </si>
  <si>
    <t>T</t>
  </si>
  <si>
    <t>W</t>
  </si>
  <si>
    <t>F</t>
  </si>
  <si>
    <t>Total Remaining Hours:</t>
  </si>
  <si>
    <t>Total Capacity in Hours:</t>
  </si>
  <si>
    <t>Variance in Hours:</t>
  </si>
  <si>
    <t>=</t>
  </si>
  <si>
    <t>Sprint Team</t>
  </si>
  <si>
    <t>Available Hours</t>
  </si>
  <si>
    <t>Sprint Start Date</t>
  </si>
  <si>
    <t>Current Date</t>
  </si>
  <si>
    <t>Scrum Team</t>
  </si>
  <si>
    <t>Assigned Hours</t>
  </si>
  <si>
    <t>Sprint Tracking Statistics</t>
  </si>
  <si>
    <t>.</t>
  </si>
  <si>
    <t>h</t>
  </si>
  <si>
    <t>v</t>
  </si>
  <si>
    <t>Vacation &amp; Public Holiday</t>
  </si>
  <si>
    <t>OOF (Sick, Biz Travel etc.)</t>
  </si>
  <si>
    <t>Productive Hours =</t>
  </si>
  <si>
    <t>Sprint Days =</t>
  </si>
  <si>
    <t>Sprint Vision:</t>
  </si>
  <si>
    <t>Alias</t>
  </si>
  <si>
    <t>Mobile Phone</t>
  </si>
  <si>
    <t>Name</t>
  </si>
  <si>
    <t>Postponed</t>
  </si>
  <si>
    <t>Work Item Status</t>
  </si>
  <si>
    <t>Total</t>
  </si>
  <si>
    <t>Complete</t>
  </si>
  <si>
    <t>In Progress</t>
  </si>
  <si>
    <t>Pending</t>
  </si>
  <si>
    <t>Cancelled</t>
  </si>
  <si>
    <t>CR</t>
    <phoneticPr fontId="27" type="noConversion"/>
  </si>
  <si>
    <t>Work Type</t>
    <phoneticPr fontId="27" type="noConversion"/>
  </si>
  <si>
    <t>Functional Area</t>
    <phoneticPr fontId="27" type="noConversion"/>
  </si>
  <si>
    <t>Hours</t>
    <phoneticPr fontId="27" type="noConversion"/>
  </si>
  <si>
    <t>Percent</t>
    <phoneticPr fontId="27" type="noConversion"/>
  </si>
  <si>
    <t>Office Phone</t>
    <phoneticPr fontId="1" type="noConversion"/>
  </si>
  <si>
    <t>Major</t>
    <phoneticPr fontId="1" type="noConversion"/>
  </si>
  <si>
    <t>房价</t>
    <phoneticPr fontId="27" type="noConversion"/>
  </si>
  <si>
    <t>胡文</t>
  </si>
  <si>
    <t>huwen@Ctrip.com</t>
  </si>
  <si>
    <t>蒋琦</t>
  </si>
  <si>
    <t>jiang.qi@Ctrip.com</t>
  </si>
  <si>
    <t>巩红波</t>
  </si>
  <si>
    <t>hbgong@Ctrip.com</t>
  </si>
  <si>
    <t>林志颖</t>
  </si>
  <si>
    <t>钱金文</t>
  </si>
  <si>
    <t>王宝珠</t>
  </si>
  <si>
    <t>王军伟</t>
  </si>
  <si>
    <t>吴强</t>
  </si>
  <si>
    <t>须德鹤</t>
  </si>
  <si>
    <t>易比双</t>
  </si>
  <si>
    <t>周嘉衍</t>
  </si>
  <si>
    <t>周俊</t>
  </si>
  <si>
    <t>朱润凝</t>
  </si>
  <si>
    <t>朱祖鑫</t>
  </si>
  <si>
    <t>邹永义</t>
  </si>
  <si>
    <t>zouyy@Ctrip.com</t>
  </si>
  <si>
    <t>zx_zhu@Ctrip.com</t>
  </si>
  <si>
    <t>rnzhu@Ctrip.com</t>
  </si>
  <si>
    <t>junzhoua@Ctrip.com</t>
  </si>
  <si>
    <t>jy_zhou@Ctrip.com</t>
  </si>
  <si>
    <t>yibs@Ctrip.com</t>
  </si>
  <si>
    <t>dhxu@Ctrip.com</t>
  </si>
  <si>
    <t>wuqiang@Ctrip.com</t>
  </si>
  <si>
    <t>wang.junwei@Ctrip.com</t>
  </si>
  <si>
    <t>wangbz@Ctrip.com</t>
  </si>
  <si>
    <t>jw_qian@Ctrip.com</t>
  </si>
  <si>
    <t>lin_zy@Ctrip.com</t>
  </si>
  <si>
    <t>基础信息</t>
    <phoneticPr fontId="27" type="noConversion"/>
  </si>
  <si>
    <t>酒店产品</t>
    <phoneticPr fontId="27" type="noConversion"/>
  </si>
  <si>
    <t>房型产品</t>
    <phoneticPr fontId="27" type="noConversion"/>
  </si>
  <si>
    <t>产品详情</t>
    <phoneticPr fontId="27" type="noConversion"/>
  </si>
  <si>
    <t>房态</t>
    <phoneticPr fontId="27" type="noConversion"/>
  </si>
  <si>
    <t>房量</t>
    <phoneticPr fontId="27" type="noConversion"/>
  </si>
  <si>
    <t>工作流</t>
    <phoneticPr fontId="27" type="noConversion"/>
  </si>
  <si>
    <r>
      <t>OA</t>
    </r>
    <r>
      <rPr>
        <sz val="10"/>
        <color indexed="8"/>
        <rFont val="宋体"/>
        <family val="3"/>
        <charset val="134"/>
      </rPr>
      <t>相关</t>
    </r>
    <phoneticPr fontId="27" type="noConversion"/>
  </si>
  <si>
    <t>国际化</t>
    <phoneticPr fontId="27" type="noConversion"/>
  </si>
  <si>
    <t>% of time on Coding</t>
    <phoneticPr fontId="0" type="noConversion"/>
  </si>
  <si>
    <t>Refactoring</t>
    <phoneticPr fontId="27" type="noConversion"/>
  </si>
  <si>
    <t>Project</t>
    <phoneticPr fontId="27" type="noConversion"/>
  </si>
  <si>
    <t>FixBug</t>
    <phoneticPr fontId="27" type="noConversion"/>
  </si>
  <si>
    <t>优惠促销</t>
    <phoneticPr fontId="27" type="noConversion"/>
  </si>
  <si>
    <t>Work item Description</t>
    <phoneticPr fontId="1" type="noConversion"/>
  </si>
  <si>
    <t>Total</t>
    <phoneticPr fontId="1" type="noConversion"/>
  </si>
  <si>
    <t>Type</t>
    <phoneticPr fontId="1" type="noConversion"/>
  </si>
  <si>
    <t>Area</t>
    <phoneticPr fontId="1" type="noConversion"/>
  </si>
  <si>
    <t>Feature/Project</t>
    <phoneticPr fontId="1" type="noConversion"/>
  </si>
  <si>
    <t>CP4 ID</t>
    <phoneticPr fontId="1" type="noConversion"/>
  </si>
  <si>
    <t>Dev</t>
    <phoneticPr fontId="1" type="noConversion"/>
  </si>
  <si>
    <t>Coding Hours</t>
    <phoneticPr fontId="1" type="noConversion"/>
  </si>
  <si>
    <t>Coding Due Date</t>
    <phoneticPr fontId="1" type="noConversion"/>
  </si>
  <si>
    <t>Deliver Date</t>
    <phoneticPr fontId="1" type="noConversion"/>
  </si>
  <si>
    <t>Demander</t>
    <phoneticPr fontId="1" type="noConversion"/>
  </si>
  <si>
    <t>PM</t>
    <phoneticPr fontId="1" type="noConversion"/>
  </si>
  <si>
    <t>Tester</t>
    <phoneticPr fontId="1" type="noConversion"/>
  </si>
  <si>
    <t>Status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</si>
</sst>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176" formatCode="0.0"/>
    <numFmt numFmtId="177" formatCode="0_);[Red]\(0\)"/>
    <numFmt numFmtId="178" formatCode="dd"/>
    <numFmt numFmtId="179" formatCode="ddd"/>
    <numFmt numFmtId="180" formatCode="[$-F800]dddd\,\ mmmm\ dd\,\ yyyy"/>
    <numFmt numFmtId="181" formatCode="0_ "/>
  </numFmts>
  <fonts count="33" x14ac:knownFonts="1">
    <font>
      <sz val="10"/>
      <name val="Arial"/>
    </font>
    <font>
      <sz val="8"/>
      <name val="Arial"/>
      <family val="2"/>
    </font>
    <font>
      <sz val="10"/>
      <name val="Arial"/>
      <family val="2"/>
    </font>
    <font>
      <sz val="11"/>
      <color indexed="9"/>
      <name val="Calibri"/>
      <family val="2"/>
    </font>
    <font>
      <sz val="11"/>
      <color indexed="8"/>
      <name val="Calibri"/>
      <family val="2"/>
    </font>
    <font>
      <sz val="11"/>
      <color indexed="16"/>
      <name val="Calibri"/>
      <family val="2"/>
    </font>
    <font>
      <b/>
      <sz val="11"/>
      <color indexed="53"/>
      <name val="Calibri"/>
      <family val="2"/>
    </font>
    <font>
      <b/>
      <sz val="11"/>
      <color indexed="9"/>
      <name val="Calibri"/>
      <family val="2"/>
    </font>
    <font>
      <b/>
      <sz val="11"/>
      <color indexed="8"/>
      <name val="Calibri"/>
      <family val="2"/>
    </font>
    <font>
      <sz val="11"/>
      <color indexed="17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indexed="53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62"/>
      <name val="Cambria"/>
      <family val="2"/>
    </font>
    <font>
      <sz val="11"/>
      <color indexed="10"/>
      <name val="Calibri"/>
      <family val="2"/>
    </font>
    <font>
      <sz val="8"/>
      <name val="Tahoma"/>
      <family val="2"/>
    </font>
    <font>
      <sz val="10"/>
      <name val="Tahoma"/>
      <family val="2"/>
    </font>
    <font>
      <sz val="10"/>
      <color indexed="9"/>
      <name val="Tahoma"/>
      <family val="2"/>
    </font>
    <font>
      <b/>
      <sz val="8"/>
      <name val="Tahoma"/>
      <family val="2"/>
    </font>
    <font>
      <sz val="10"/>
      <color indexed="8"/>
      <name val="Tahoma"/>
      <family val="2"/>
    </font>
    <font>
      <b/>
      <sz val="12"/>
      <color indexed="9"/>
      <name val="Tahoma"/>
      <family val="2"/>
    </font>
    <font>
      <b/>
      <sz val="10"/>
      <name val="Tahoma"/>
      <family val="2"/>
    </font>
    <font>
      <b/>
      <sz val="10"/>
      <name val="Arial"/>
      <family val="2"/>
    </font>
    <font>
      <sz val="9"/>
      <name val="宋体"/>
      <family val="3"/>
      <charset val="134"/>
    </font>
    <font>
      <sz val="8"/>
      <name val="宋体"/>
      <family val="3"/>
      <charset val="134"/>
    </font>
    <font>
      <b/>
      <sz val="11"/>
      <color theme="0"/>
      <name val="Calibri"/>
      <family val="2"/>
    </font>
    <font>
      <sz val="10"/>
      <color indexed="8"/>
      <name val="宋体"/>
      <family val="3"/>
      <charset val="134"/>
    </font>
    <font>
      <sz val="10"/>
      <color indexed="8"/>
      <name val="Calibri"/>
      <family val="2"/>
    </font>
    <font>
      <sz val="10"/>
      <color theme="0"/>
      <name val="Tahoma"/>
      <family val="2"/>
    </font>
  </fonts>
  <fills count="29">
    <fill>
      <patternFill patternType="none"/>
    </fill>
    <fill>
      <patternFill patternType="gray125"/>
    </fill>
    <fill>
      <patternFill patternType="solid">
        <fgColor indexed="54"/>
        <bgColor indexed="54"/>
      </patternFill>
    </fill>
    <fill>
      <patternFill patternType="solid">
        <fgColor indexed="31"/>
        <bgColor indexed="31"/>
      </patternFill>
    </fill>
    <fill>
      <patternFill patternType="solid">
        <fgColor indexed="44"/>
        <bgColor indexed="44"/>
      </patternFill>
    </fill>
    <fill>
      <patternFill patternType="solid">
        <fgColor indexed="25"/>
        <bgColor indexed="25"/>
      </patternFill>
    </fill>
    <fill>
      <patternFill patternType="solid">
        <fgColor indexed="26"/>
        <bgColor indexed="26"/>
      </patternFill>
    </fill>
    <fill>
      <patternFill patternType="solid">
        <fgColor indexed="22"/>
        <bgColor indexed="22"/>
      </patternFill>
    </fill>
    <fill>
      <patternFill patternType="solid">
        <fgColor indexed="55"/>
        <bgColor indexed="55"/>
      </patternFill>
    </fill>
    <fill>
      <patternFill patternType="solid">
        <fgColor indexed="42"/>
        <bgColor indexed="42"/>
      </patternFill>
    </fill>
    <fill>
      <patternFill patternType="solid">
        <fgColor indexed="49"/>
        <bgColor indexed="49"/>
      </patternFill>
    </fill>
    <fill>
      <patternFill patternType="solid">
        <fgColor indexed="27"/>
        <bgColor indexed="27"/>
      </patternFill>
    </fill>
    <fill>
      <patternFill patternType="solid">
        <fgColor indexed="52"/>
        <bgColor indexed="52"/>
      </patternFill>
    </fill>
    <fill>
      <patternFill patternType="solid">
        <fgColor indexed="47"/>
        <bgColor indexed="47"/>
      </patternFill>
    </fill>
    <fill>
      <patternFill patternType="solid">
        <fgColor indexed="45"/>
        <bgColor indexed="45"/>
      </patternFill>
    </fill>
    <fill>
      <patternFill patternType="solid">
        <fgColor indexed="9"/>
        <bgColor indexed="9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22"/>
      </patternFill>
    </fill>
    <fill>
      <patternFill patternType="solid">
        <fgColor indexed="43"/>
        <bgColor indexed="43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65"/>
        <bgColor indexed="64"/>
      </patternFill>
    </fill>
    <fill>
      <patternFill patternType="solid">
        <fgColor indexed="22"/>
      </patternFill>
    </fill>
    <fill>
      <patternFill patternType="lightGray">
        <fgColor indexed="9"/>
        <bgColor indexed="22"/>
      </patternFill>
    </fill>
    <fill>
      <patternFill patternType="lightGray">
        <fgColor indexed="9"/>
        <bgColor indexed="9"/>
      </patternFill>
    </fill>
    <fill>
      <patternFill patternType="solid">
        <fgColor indexed="44"/>
      </patternFill>
    </fill>
    <fill>
      <patternFill patternType="solid">
        <fgColor indexed="43"/>
      </patternFill>
    </fill>
    <fill>
      <patternFill patternType="solid">
        <fgColor theme="4"/>
        <bgColor indexed="64"/>
      </patternFill>
    </fill>
  </fills>
  <borders count="70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54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4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54"/>
      </top>
      <bottom style="double">
        <color indexed="5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indexed="12"/>
      </left>
      <right style="thin">
        <color indexed="23"/>
      </right>
      <top style="thick">
        <color indexed="12"/>
      </top>
      <bottom style="double">
        <color indexed="64"/>
      </bottom>
      <diagonal/>
    </border>
    <border>
      <left style="thin">
        <color indexed="23"/>
      </left>
      <right style="thin">
        <color indexed="23"/>
      </right>
      <top style="thick">
        <color indexed="12"/>
      </top>
      <bottom style="double">
        <color indexed="8"/>
      </bottom>
      <diagonal/>
    </border>
    <border>
      <left/>
      <right style="thin">
        <color indexed="23"/>
      </right>
      <top style="thick">
        <color indexed="12"/>
      </top>
      <bottom style="double">
        <color indexed="64"/>
      </bottom>
      <diagonal/>
    </border>
    <border>
      <left style="thin">
        <color indexed="23"/>
      </left>
      <right style="thin">
        <color indexed="23"/>
      </right>
      <top style="thick">
        <color indexed="12"/>
      </top>
      <bottom style="double">
        <color indexed="64"/>
      </bottom>
      <diagonal/>
    </border>
    <border>
      <left/>
      <right style="thick">
        <color indexed="12"/>
      </right>
      <top style="thick">
        <color indexed="12"/>
      </top>
      <bottom style="double">
        <color indexed="64"/>
      </bottom>
      <diagonal/>
    </border>
    <border>
      <left style="thick">
        <color indexed="12"/>
      </left>
      <right style="thin">
        <color indexed="23"/>
      </right>
      <top/>
      <bottom/>
      <diagonal/>
    </border>
    <border>
      <left/>
      <right style="thin">
        <color indexed="23"/>
      </right>
      <top/>
      <bottom/>
      <diagonal/>
    </border>
    <border>
      <left style="thin">
        <color indexed="23"/>
      </left>
      <right style="thin">
        <color indexed="23"/>
      </right>
      <top/>
      <bottom/>
      <diagonal/>
    </border>
    <border>
      <left/>
      <right style="thick">
        <color indexed="12"/>
      </right>
      <top/>
      <bottom/>
      <diagonal/>
    </border>
    <border>
      <left style="thick">
        <color indexed="12"/>
      </left>
      <right style="thin">
        <color indexed="23"/>
      </right>
      <top style="thin">
        <color indexed="23"/>
      </top>
      <bottom/>
      <diagonal/>
    </border>
    <border>
      <left/>
      <right style="thin">
        <color indexed="23"/>
      </right>
      <top style="thin">
        <color indexed="23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/>
      <diagonal/>
    </border>
    <border>
      <left style="thick">
        <color indexed="12"/>
      </left>
      <right style="thin">
        <color indexed="23"/>
      </right>
      <top/>
      <bottom style="thick">
        <color indexed="12"/>
      </bottom>
      <diagonal/>
    </border>
    <border>
      <left/>
      <right style="thin">
        <color indexed="23"/>
      </right>
      <top/>
      <bottom style="thick">
        <color indexed="12"/>
      </bottom>
      <diagonal/>
    </border>
    <border>
      <left style="thin">
        <color indexed="23"/>
      </left>
      <right style="thin">
        <color indexed="23"/>
      </right>
      <top/>
      <bottom style="thick">
        <color indexed="12"/>
      </bottom>
      <diagonal/>
    </border>
    <border>
      <left/>
      <right style="thick">
        <color indexed="12"/>
      </right>
      <top/>
      <bottom style="thick">
        <color indexed="12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45">
    <xf numFmtId="0" fontId="0" fillId="0" borderId="0"/>
    <xf numFmtId="0" fontId="3" fillId="2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4" fillId="6" borderId="0" applyNumberFormat="0" applyBorder="0" applyAlignment="0" applyProtection="0"/>
    <xf numFmtId="0" fontId="4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4" fillId="6" borderId="0" applyNumberFormat="0" applyBorder="0" applyAlignment="0" applyProtection="0"/>
    <xf numFmtId="0" fontId="4" fillId="9" borderId="0" applyNumberFormat="0" applyBorder="0" applyAlignment="0" applyProtection="0"/>
    <xf numFmtId="0" fontId="3" fillId="7" borderId="0" applyNumberFormat="0" applyBorder="0" applyAlignment="0" applyProtection="0"/>
    <xf numFmtId="0" fontId="3" fillId="2" borderId="0" applyNumberFormat="0" applyBorder="0" applyAlignment="0" applyProtection="0"/>
    <xf numFmtId="0" fontId="4" fillId="3" borderId="0" applyNumberFormat="0" applyBorder="0" applyAlignment="0" applyProtection="0"/>
    <xf numFmtId="0" fontId="4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12" borderId="0" applyNumberFormat="0" applyBorder="0" applyAlignment="0" applyProtection="0"/>
    <xf numFmtId="0" fontId="4" fillId="6" borderId="0" applyNumberFormat="0" applyBorder="0" applyAlignment="0" applyProtection="0"/>
    <xf numFmtId="0" fontId="4" fillId="13" borderId="0" applyNumberFormat="0" applyBorder="0" applyAlignment="0" applyProtection="0"/>
    <xf numFmtId="0" fontId="3" fillId="13" borderId="0" applyNumberFormat="0" applyBorder="0" applyAlignment="0" applyProtection="0"/>
    <xf numFmtId="0" fontId="5" fillId="14" borderId="0" applyNumberFormat="0" applyBorder="0" applyAlignment="0" applyProtection="0"/>
    <xf numFmtId="0" fontId="6" fillId="15" borderId="1" applyNumberFormat="0" applyAlignment="0" applyProtection="0"/>
    <xf numFmtId="0" fontId="7" fillId="8" borderId="2" applyNumberFormat="0" applyAlignment="0" applyProtection="0"/>
    <xf numFmtId="0" fontId="8" fillId="16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9" fillId="9" borderId="0" applyNumberFormat="0" applyBorder="0" applyAlignment="0" applyProtection="0"/>
    <xf numFmtId="0" fontId="10" fillId="0" borderId="3" applyNumberFormat="0" applyFill="0" applyAlignment="0" applyProtection="0"/>
    <xf numFmtId="0" fontId="11" fillId="0" borderId="4" applyNumberFormat="0" applyFill="0" applyAlignment="0" applyProtection="0"/>
    <xf numFmtId="0" fontId="12" fillId="0" borderId="5" applyNumberFormat="0" applyFill="0" applyAlignment="0" applyProtection="0"/>
    <xf numFmtId="0" fontId="12" fillId="0" borderId="0" applyNumberFormat="0" applyFill="0" applyBorder="0" applyAlignment="0" applyProtection="0"/>
    <xf numFmtId="0" fontId="13" fillId="13" borderId="1" applyNumberFormat="0" applyAlignment="0" applyProtection="0"/>
    <xf numFmtId="0" fontId="14" fillId="0" borderId="6" applyNumberFormat="0" applyFill="0" applyAlignment="0" applyProtection="0"/>
    <xf numFmtId="0" fontId="15" fillId="19" borderId="0" applyNumberFormat="0" applyBorder="0" applyAlignment="0" applyProtection="0"/>
    <xf numFmtId="0" fontId="2" fillId="6" borderId="7" applyNumberFormat="0" applyFont="0" applyAlignment="0" applyProtection="0"/>
    <xf numFmtId="0" fontId="16" fillId="15" borderId="8" applyNumberFormat="0" applyAlignment="0" applyProtection="0"/>
    <xf numFmtId="0" fontId="17" fillId="0" borderId="0" applyNumberFormat="0" applyFill="0" applyBorder="0" applyAlignment="0" applyProtection="0"/>
    <xf numFmtId="0" fontId="8" fillId="0" borderId="9" applyNumberFormat="0" applyFill="0" applyAlignment="0" applyProtection="0"/>
    <xf numFmtId="0" fontId="18" fillId="0" borderId="0" applyNumberFormat="0" applyFill="0" applyBorder="0" applyAlignment="0" applyProtection="0"/>
    <xf numFmtId="0" fontId="4" fillId="0" borderId="0"/>
  </cellStyleXfs>
  <cellXfs count="153">
    <xf numFmtId="0" fontId="0" fillId="0" borderId="0" xfId="0"/>
    <xf numFmtId="0" fontId="20" fillId="0" borderId="0" xfId="0" applyFont="1"/>
    <xf numFmtId="49" fontId="19" fillId="0" borderId="10" xfId="0" applyNumberFormat="1" applyFont="1" applyFill="1" applyBorder="1" applyAlignment="1">
      <alignment horizontal="left" indent="1"/>
    </xf>
    <xf numFmtId="0" fontId="19" fillId="0" borderId="11" xfId="0" applyNumberFormat="1" applyFont="1" applyFill="1" applyBorder="1" applyAlignment="1">
      <alignment horizontal="left" indent="1"/>
    </xf>
    <xf numFmtId="0" fontId="19" fillId="20" borderId="12" xfId="0" applyFont="1" applyFill="1" applyBorder="1" applyAlignment="1">
      <alignment horizontal="center"/>
    </xf>
    <xf numFmtId="0" fontId="20" fillId="0" borderId="0" xfId="0" applyFont="1" applyBorder="1"/>
    <xf numFmtId="0" fontId="20" fillId="20" borderId="0" xfId="0" applyFont="1" applyFill="1"/>
    <xf numFmtId="0" fontId="19" fillId="20" borderId="0" xfId="0" applyFont="1" applyFill="1"/>
    <xf numFmtId="0" fontId="22" fillId="20" borderId="13" xfId="0" applyFont="1" applyFill="1" applyBorder="1"/>
    <xf numFmtId="0" fontId="19" fillId="20" borderId="14" xfId="0" applyFont="1" applyFill="1" applyBorder="1"/>
    <xf numFmtId="0" fontId="20" fillId="20" borderId="14" xfId="0" applyFont="1" applyFill="1" applyBorder="1"/>
    <xf numFmtId="180" fontId="20" fillId="21" borderId="15" xfId="0" applyNumberFormat="1" applyFont="1" applyFill="1" applyBorder="1"/>
    <xf numFmtId="0" fontId="22" fillId="20" borderId="16" xfId="0" applyFont="1" applyFill="1" applyBorder="1"/>
    <xf numFmtId="0" fontId="19" fillId="20" borderId="17" xfId="0" applyFont="1" applyFill="1" applyBorder="1"/>
    <xf numFmtId="180" fontId="20" fillId="20" borderId="17" xfId="0" applyNumberFormat="1" applyFont="1" applyFill="1" applyBorder="1"/>
    <xf numFmtId="180" fontId="20" fillId="20" borderId="18" xfId="0" applyNumberFormat="1" applyFont="1" applyFill="1" applyBorder="1"/>
    <xf numFmtId="14" fontId="20" fillId="20" borderId="0" xfId="0" applyNumberFormat="1" applyFont="1" applyFill="1"/>
    <xf numFmtId="0" fontId="23" fillId="20" borderId="0" xfId="0" applyNumberFormat="1" applyFont="1" applyFill="1" applyBorder="1" applyAlignment="1">
      <alignment horizontal="center"/>
    </xf>
    <xf numFmtId="0" fontId="24" fillId="20" borderId="19" xfId="0" applyFont="1" applyFill="1" applyBorder="1" applyAlignment="1">
      <alignment horizontal="center"/>
    </xf>
    <xf numFmtId="0" fontId="20" fillId="20" borderId="20" xfId="0" applyFont="1" applyFill="1" applyBorder="1" applyAlignment="1"/>
    <xf numFmtId="0" fontId="21" fillId="20" borderId="20" xfId="0" applyFont="1" applyFill="1" applyBorder="1" applyAlignment="1"/>
    <xf numFmtId="0" fontId="21" fillId="20" borderId="19" xfId="0" applyFont="1" applyFill="1" applyBorder="1" applyAlignment="1"/>
    <xf numFmtId="0" fontId="21" fillId="20" borderId="21" xfId="0" applyFont="1" applyFill="1" applyBorder="1" applyAlignment="1"/>
    <xf numFmtId="49" fontId="25" fillId="20" borderId="22" xfId="0" applyNumberFormat="1" applyFont="1" applyFill="1" applyBorder="1" applyAlignment="1">
      <alignment horizontal="left" vertical="top" wrapText="1"/>
    </xf>
    <xf numFmtId="0" fontId="20" fillId="20" borderId="0" xfId="0" applyFont="1" applyFill="1" applyBorder="1" applyAlignment="1">
      <alignment horizontal="center" vertical="top" wrapText="1"/>
    </xf>
    <xf numFmtId="0" fontId="19" fillId="20" borderId="0" xfId="0" applyFont="1" applyFill="1" applyBorder="1" applyAlignment="1">
      <alignment vertical="top" wrapText="1"/>
    </xf>
    <xf numFmtId="0" fontId="25" fillId="20" borderId="0" xfId="0" applyFont="1" applyFill="1" applyBorder="1" applyAlignment="1">
      <alignment wrapText="1"/>
    </xf>
    <xf numFmtId="0" fontId="20" fillId="20" borderId="0" xfId="0" applyFont="1" applyFill="1" applyBorder="1" applyAlignment="1">
      <alignment wrapText="1"/>
    </xf>
    <xf numFmtId="176" fontId="25" fillId="20" borderId="23" xfId="0" applyNumberFormat="1" applyFont="1" applyFill="1" applyBorder="1" applyAlignment="1">
      <alignment horizontal="center" wrapText="1"/>
    </xf>
    <xf numFmtId="16" fontId="20" fillId="0" borderId="24" xfId="0" applyNumberFormat="1" applyFont="1" applyBorder="1" applyAlignment="1">
      <alignment horizontal="center"/>
    </xf>
    <xf numFmtId="178" fontId="20" fillId="22" borderId="25" xfId="0" applyNumberFormat="1" applyFont="1" applyFill="1" applyBorder="1" applyAlignment="1">
      <alignment horizontal="center"/>
    </xf>
    <xf numFmtId="178" fontId="20" fillId="23" borderId="25" xfId="0" applyNumberFormat="1" applyFont="1" applyFill="1" applyBorder="1" applyAlignment="1">
      <alignment horizontal="center"/>
    </xf>
    <xf numFmtId="16" fontId="20" fillId="22" borderId="24" xfId="0" applyNumberFormat="1" applyFont="1" applyFill="1" applyBorder="1" applyAlignment="1">
      <alignment horizontal="center"/>
    </xf>
    <xf numFmtId="49" fontId="20" fillId="20" borderId="22" xfId="0" applyNumberFormat="1" applyFont="1" applyFill="1" applyBorder="1" applyAlignment="1">
      <alignment horizontal="left" vertical="top" wrapText="1"/>
    </xf>
    <xf numFmtId="0" fontId="20" fillId="20" borderId="0" xfId="0" applyFont="1" applyFill="1" applyBorder="1" applyAlignment="1">
      <alignment vertical="top" wrapText="1"/>
    </xf>
    <xf numFmtId="0" fontId="22" fillId="20" borderId="0" xfId="0" applyFont="1" applyFill="1" applyBorder="1" applyAlignment="1">
      <alignment horizontal="center" wrapText="1"/>
    </xf>
    <xf numFmtId="0" fontId="22" fillId="20" borderId="23" xfId="0" applyFont="1" applyFill="1" applyBorder="1" applyAlignment="1">
      <alignment horizontal="center" wrapText="1"/>
    </xf>
    <xf numFmtId="0" fontId="20" fillId="0" borderId="26" xfId="0" applyFont="1" applyBorder="1" applyAlignment="1">
      <alignment horizontal="center"/>
    </xf>
    <xf numFmtId="0" fontId="20" fillId="0" borderId="27" xfId="0" applyFont="1" applyBorder="1" applyAlignment="1">
      <alignment horizontal="center"/>
    </xf>
    <xf numFmtId="0" fontId="20" fillId="23" borderId="27" xfId="0" applyFont="1" applyFill="1" applyBorder="1" applyAlignment="1">
      <alignment horizontal="center"/>
    </xf>
    <xf numFmtId="0" fontId="20" fillId="23" borderId="28" xfId="0" applyFont="1" applyFill="1" applyBorder="1" applyAlignment="1">
      <alignment horizontal="center"/>
    </xf>
    <xf numFmtId="49" fontId="25" fillId="20" borderId="29" xfId="0" applyNumberFormat="1" applyFont="1" applyFill="1" applyBorder="1" applyAlignment="1">
      <alignment horizontal="left" vertical="top" wrapText="1"/>
    </xf>
    <xf numFmtId="177" fontId="20" fillId="20" borderId="11" xfId="0" applyNumberFormat="1" applyFont="1" applyFill="1" applyBorder="1" applyAlignment="1">
      <alignment horizontal="center" vertical="top" wrapText="1"/>
    </xf>
    <xf numFmtId="1" fontId="19" fillId="20" borderId="0" xfId="0" applyNumberFormat="1" applyFont="1" applyFill="1" applyBorder="1" applyAlignment="1">
      <alignment horizontal="left" vertical="top" wrapText="1"/>
    </xf>
    <xf numFmtId="0" fontId="19" fillId="20" borderId="30" xfId="0" applyFont="1" applyFill="1" applyBorder="1" applyAlignment="1">
      <alignment horizontal="center"/>
    </xf>
    <xf numFmtId="9" fontId="20" fillId="20" borderId="30" xfId="0" applyNumberFormat="1" applyFont="1" applyFill="1" applyBorder="1" applyAlignment="1">
      <alignment horizontal="center"/>
    </xf>
    <xf numFmtId="176" fontId="20" fillId="20" borderId="31" xfId="0" applyNumberFormat="1" applyFont="1" applyFill="1" applyBorder="1"/>
    <xf numFmtId="0" fontId="20" fillId="24" borderId="32" xfId="0" applyFont="1" applyFill="1" applyBorder="1" applyAlignment="1">
      <alignment horizontal="center"/>
    </xf>
    <xf numFmtId="0" fontId="20" fillId="24" borderId="15" xfId="0" applyFont="1" applyFill="1" applyBorder="1" applyAlignment="1">
      <alignment horizontal="center"/>
    </xf>
    <xf numFmtId="49" fontId="20" fillId="20" borderId="29" xfId="0" applyNumberFormat="1" applyFont="1" applyFill="1" applyBorder="1" applyAlignment="1">
      <alignment horizontal="left" vertical="top" wrapText="1"/>
    </xf>
    <xf numFmtId="9" fontId="19" fillId="20" borderId="0" xfId="0" applyNumberFormat="1" applyFont="1" applyFill="1" applyBorder="1" applyAlignment="1">
      <alignment horizontal="left" vertical="top" wrapText="1"/>
    </xf>
    <xf numFmtId="0" fontId="20" fillId="20" borderId="29" xfId="0" applyFont="1" applyFill="1" applyBorder="1" applyAlignment="1">
      <alignment horizontal="center"/>
    </xf>
    <xf numFmtId="0" fontId="20" fillId="20" borderId="11" xfId="0" applyFont="1" applyFill="1" applyBorder="1" applyAlignment="1">
      <alignment horizontal="center"/>
    </xf>
    <xf numFmtId="0" fontId="20" fillId="24" borderId="33" xfId="0" applyFont="1" applyFill="1" applyBorder="1" applyAlignment="1">
      <alignment horizontal="center"/>
    </xf>
    <xf numFmtId="0" fontId="20" fillId="24" borderId="34" xfId="0" applyFont="1" applyFill="1" applyBorder="1" applyAlignment="1">
      <alignment horizontal="center"/>
    </xf>
    <xf numFmtId="49" fontId="20" fillId="23" borderId="29" xfId="0" applyNumberFormat="1" applyFont="1" applyFill="1" applyBorder="1" applyAlignment="1">
      <alignment horizontal="left" vertical="top" wrapText="1"/>
    </xf>
    <xf numFmtId="177" fontId="20" fillId="23" borderId="11" xfId="0" applyNumberFormat="1" applyFont="1" applyFill="1" applyBorder="1" applyAlignment="1">
      <alignment horizontal="center" vertical="top" wrapText="1"/>
    </xf>
    <xf numFmtId="0" fontId="20" fillId="20" borderId="22" xfId="0" applyFont="1" applyFill="1" applyBorder="1"/>
    <xf numFmtId="177" fontId="19" fillId="20" borderId="0" xfId="0" applyNumberFormat="1" applyFont="1" applyFill="1" applyBorder="1" applyAlignment="1">
      <alignment horizontal="left" vertical="top" wrapText="1"/>
    </xf>
    <xf numFmtId="0" fontId="19" fillId="20" borderId="0" xfId="0" applyFont="1" applyFill="1" applyBorder="1"/>
    <xf numFmtId="0" fontId="20" fillId="20" borderId="31" xfId="0" applyFont="1" applyFill="1" applyBorder="1"/>
    <xf numFmtId="0" fontId="20" fillId="20" borderId="0" xfId="0" applyFont="1" applyFill="1" applyBorder="1"/>
    <xf numFmtId="177" fontId="20" fillId="20" borderId="0" xfId="0" applyNumberFormat="1" applyFont="1" applyFill="1" applyBorder="1" applyAlignment="1">
      <alignment horizontal="left" vertical="top" wrapText="1"/>
    </xf>
    <xf numFmtId="0" fontId="20" fillId="20" borderId="12" xfId="0" applyFont="1" applyFill="1" applyBorder="1" applyAlignment="1">
      <alignment horizontal="center"/>
    </xf>
    <xf numFmtId="0" fontId="19" fillId="20" borderId="35" xfId="0" applyFont="1" applyFill="1" applyBorder="1" applyAlignment="1">
      <alignment horizontal="center"/>
    </xf>
    <xf numFmtId="0" fontId="20" fillId="20" borderId="35" xfId="0" applyFont="1" applyFill="1" applyBorder="1" applyAlignment="1">
      <alignment horizontal="center"/>
    </xf>
    <xf numFmtId="0" fontId="20" fillId="20" borderId="36" xfId="0" applyFont="1" applyFill="1" applyBorder="1" applyAlignment="1">
      <alignment horizontal="center"/>
    </xf>
    <xf numFmtId="0" fontId="20" fillId="20" borderId="37" xfId="0" applyFont="1" applyFill="1" applyBorder="1" applyAlignment="1">
      <alignment horizontal="center"/>
    </xf>
    <xf numFmtId="0" fontId="20" fillId="24" borderId="38" xfId="0" applyFont="1" applyFill="1" applyBorder="1" applyAlignment="1">
      <alignment horizontal="center"/>
    </xf>
    <xf numFmtId="0" fontId="20" fillId="24" borderId="18" xfId="0" applyFont="1" applyFill="1" applyBorder="1" applyAlignment="1">
      <alignment horizontal="center"/>
    </xf>
    <xf numFmtId="0" fontId="20" fillId="20" borderId="0" xfId="0" applyFont="1" applyFill="1" applyBorder="1" applyAlignment="1">
      <alignment horizontal="center"/>
    </xf>
    <xf numFmtId="1" fontId="20" fillId="20" borderId="23" xfId="0" applyNumberFormat="1" applyFont="1" applyFill="1" applyBorder="1" applyAlignment="1">
      <alignment wrapText="1"/>
    </xf>
    <xf numFmtId="0" fontId="20" fillId="25" borderId="24" xfId="0" applyFont="1" applyFill="1" applyBorder="1"/>
    <xf numFmtId="0" fontId="20" fillId="25" borderId="25" xfId="0" applyFont="1" applyFill="1" applyBorder="1"/>
    <xf numFmtId="0" fontId="20" fillId="25" borderId="0" xfId="0" applyFont="1" applyFill="1" applyBorder="1"/>
    <xf numFmtId="0" fontId="25" fillId="25" borderId="0" xfId="0" applyFont="1" applyFill="1" applyBorder="1" applyAlignment="1">
      <alignment horizontal="center"/>
    </xf>
    <xf numFmtId="0" fontId="25" fillId="25" borderId="23" xfId="0" applyFont="1" applyFill="1" applyBorder="1" applyAlignment="1">
      <alignment horizontal="center"/>
    </xf>
    <xf numFmtId="0" fontId="19" fillId="20" borderId="39" xfId="0" applyFont="1" applyFill="1" applyBorder="1"/>
    <xf numFmtId="0" fontId="19" fillId="20" borderId="40" xfId="0" applyFont="1" applyFill="1" applyBorder="1"/>
    <xf numFmtId="0" fontId="20" fillId="20" borderId="40" xfId="0" applyFont="1" applyFill="1" applyBorder="1"/>
    <xf numFmtId="0" fontId="20" fillId="20" borderId="41" xfId="0" applyFont="1" applyFill="1" applyBorder="1"/>
    <xf numFmtId="0" fontId="20" fillId="20" borderId="39" xfId="0" applyFont="1" applyFill="1" applyBorder="1"/>
    <xf numFmtId="0" fontId="20" fillId="25" borderId="40" xfId="0" applyFont="1" applyFill="1" applyBorder="1"/>
    <xf numFmtId="0" fontId="20" fillId="26" borderId="0" xfId="0" applyFont="1" applyFill="1" applyAlignment="1">
      <alignment horizontal="center"/>
    </xf>
    <xf numFmtId="16" fontId="19" fillId="20" borderId="0" xfId="0" applyNumberFormat="1" applyFont="1" applyFill="1"/>
    <xf numFmtId="179" fontId="20" fillId="20" borderId="0" xfId="0" applyNumberFormat="1" applyFont="1" applyFill="1"/>
    <xf numFmtId="16" fontId="20" fillId="20" borderId="0" xfId="0" applyNumberFormat="1" applyFont="1" applyFill="1"/>
    <xf numFmtId="0" fontId="20" fillId="20" borderId="0" xfId="0" quotePrefix="1" applyFont="1" applyFill="1" applyAlignment="1">
      <alignment horizontal="left"/>
    </xf>
    <xf numFmtId="0" fontId="20" fillId="20" borderId="0" xfId="0" applyFont="1" applyFill="1" applyAlignment="1">
      <alignment horizontal="center"/>
    </xf>
    <xf numFmtId="14" fontId="19" fillId="20" borderId="0" xfId="0" applyNumberFormat="1" applyFont="1" applyFill="1"/>
    <xf numFmtId="0" fontId="22" fillId="20" borderId="0" xfId="0" applyFont="1" applyFill="1"/>
    <xf numFmtId="0" fontId="22" fillId="27" borderId="42" xfId="0" applyFont="1" applyFill="1" applyBorder="1" applyAlignment="1">
      <alignment horizontal="center"/>
    </xf>
    <xf numFmtId="0" fontId="22" fillId="27" borderId="43" xfId="0" applyFont="1" applyFill="1" applyBorder="1" applyAlignment="1">
      <alignment horizontal="left"/>
    </xf>
    <xf numFmtId="0" fontId="22" fillId="27" borderId="44" xfId="0" applyFont="1" applyFill="1" applyBorder="1" applyAlignment="1">
      <alignment horizontal="center"/>
    </xf>
    <xf numFmtId="0" fontId="22" fillId="27" borderId="45" xfId="0" applyFont="1" applyFill="1" applyBorder="1" applyAlignment="1">
      <alignment horizontal="center"/>
    </xf>
    <xf numFmtId="0" fontId="22" fillId="27" borderId="46" xfId="0" applyFont="1" applyFill="1" applyBorder="1" applyAlignment="1">
      <alignment horizontal="center"/>
    </xf>
    <xf numFmtId="0" fontId="22" fillId="27" borderId="47" xfId="0" applyFont="1" applyFill="1" applyBorder="1" applyAlignment="1">
      <alignment horizontal="center"/>
    </xf>
    <xf numFmtId="0" fontId="22" fillId="27" borderId="48" xfId="0" applyFont="1" applyFill="1" applyBorder="1" applyAlignment="1">
      <alignment horizontal="left"/>
    </xf>
    <xf numFmtId="0" fontId="22" fillId="27" borderId="48" xfId="0" applyFont="1" applyFill="1" applyBorder="1" applyAlignment="1">
      <alignment horizontal="center"/>
    </xf>
    <xf numFmtId="0" fontId="22" fillId="27" borderId="49" xfId="0" applyFont="1" applyFill="1" applyBorder="1" applyAlignment="1">
      <alignment horizontal="center"/>
    </xf>
    <xf numFmtId="0" fontId="22" fillId="27" borderId="50" xfId="0" applyFont="1" applyFill="1" applyBorder="1" applyAlignment="1">
      <alignment horizontal="center"/>
    </xf>
    <xf numFmtId="0" fontId="19" fillId="27" borderId="51" xfId="0" applyFont="1" applyFill="1" applyBorder="1" applyAlignment="1">
      <alignment horizontal="left"/>
    </xf>
    <xf numFmtId="0" fontId="19" fillId="27" borderId="52" xfId="0" applyFont="1" applyFill="1" applyBorder="1" applyAlignment="1">
      <alignment horizontal="left"/>
    </xf>
    <xf numFmtId="0" fontId="19" fillId="27" borderId="53" xfId="0" applyFont="1" applyFill="1" applyBorder="1" applyAlignment="1">
      <alignment horizontal="left"/>
    </xf>
    <xf numFmtId="0" fontId="19" fillId="0" borderId="54" xfId="0" applyFont="1" applyFill="1" applyBorder="1"/>
    <xf numFmtId="0" fontId="19" fillId="0" borderId="55" xfId="0" applyFont="1" applyFill="1" applyBorder="1" applyAlignment="1">
      <alignment horizontal="left" vertical="top"/>
    </xf>
    <xf numFmtId="0" fontId="19" fillId="0" borderId="56" xfId="0" applyFont="1" applyFill="1" applyBorder="1" applyAlignment="1">
      <alignment horizontal="left"/>
    </xf>
    <xf numFmtId="0" fontId="19" fillId="0" borderId="57" xfId="0" applyFont="1" applyBorder="1" applyAlignment="1">
      <alignment horizontal="left"/>
    </xf>
    <xf numFmtId="180" fontId="20" fillId="20" borderId="0" xfId="0" applyNumberFormat="1" applyFont="1" applyFill="1"/>
    <xf numFmtId="0" fontId="4" fillId="0" borderId="0" xfId="44" applyFont="1" applyAlignment="1">
      <alignment horizontal="center"/>
    </xf>
    <xf numFmtId="9" fontId="0" fillId="0" borderId="0" xfId="0" applyNumberFormat="1"/>
    <xf numFmtId="9" fontId="0" fillId="0" borderId="11" xfId="0" applyNumberFormat="1" applyBorder="1"/>
    <xf numFmtId="0" fontId="4" fillId="0" borderId="11" xfId="44" applyFont="1" applyBorder="1" applyAlignment="1">
      <alignment horizontal="center"/>
    </xf>
    <xf numFmtId="0" fontId="26" fillId="0" borderId="11" xfId="0" applyNumberFormat="1" applyFont="1" applyBorder="1" applyAlignment="1">
      <alignment horizontal="center"/>
    </xf>
    <xf numFmtId="0" fontId="8" fillId="0" borderId="11" xfId="44" applyFont="1" applyBorder="1" applyAlignment="1">
      <alignment horizontal="center"/>
    </xf>
    <xf numFmtId="0" fontId="29" fillId="28" borderId="11" xfId="44" applyFont="1" applyFill="1" applyBorder="1" applyAlignment="1">
      <alignment horizontal="center"/>
    </xf>
    <xf numFmtId="9" fontId="26" fillId="0" borderId="11" xfId="0" applyNumberFormat="1" applyFont="1" applyBorder="1" applyAlignment="1">
      <alignment horizontal="center"/>
    </xf>
    <xf numFmtId="0" fontId="8" fillId="0" borderId="11" xfId="44" applyFont="1" applyFill="1" applyBorder="1" applyAlignment="1">
      <alignment horizontal="left"/>
    </xf>
    <xf numFmtId="0" fontId="26" fillId="0" borderId="11" xfId="0" applyFont="1" applyBorder="1" applyAlignment="1">
      <alignment horizontal="center"/>
    </xf>
    <xf numFmtId="181" fontId="20" fillId="20" borderId="30" xfId="0" applyNumberFormat="1" applyFont="1" applyFill="1" applyBorder="1" applyAlignment="1">
      <alignment horizontal="center"/>
    </xf>
    <xf numFmtId="0" fontId="28" fillId="27" borderId="51" xfId="0" applyFont="1" applyFill="1" applyBorder="1" applyAlignment="1">
      <alignment horizontal="left"/>
    </xf>
    <xf numFmtId="0" fontId="30" fillId="0" borderId="11" xfId="44" applyFont="1" applyBorder="1" applyAlignment="1">
      <alignment horizontal="left"/>
    </xf>
    <xf numFmtId="0" fontId="31" fillId="0" borderId="11" xfId="44" applyFont="1" applyBorder="1" applyAlignment="1">
      <alignment horizontal="left"/>
    </xf>
    <xf numFmtId="0" fontId="31" fillId="0" borderId="11" xfId="44" applyFont="1" applyFill="1" applyBorder="1" applyAlignment="1">
      <alignment horizontal="left"/>
    </xf>
    <xf numFmtId="1" fontId="19" fillId="0" borderId="10" xfId="0" applyNumberFormat="1" applyFont="1" applyBorder="1"/>
    <xf numFmtId="49" fontId="19" fillId="0" borderId="62" xfId="0" applyNumberFormat="1" applyFont="1" applyFill="1" applyBorder="1" applyAlignment="1">
      <alignment horizontal="left" indent="1"/>
    </xf>
    <xf numFmtId="14" fontId="19" fillId="0" borderId="10" xfId="0" applyNumberFormat="1" applyFont="1" applyBorder="1"/>
    <xf numFmtId="49" fontId="19" fillId="0" borderId="63" xfId="0" applyNumberFormat="1" applyFont="1" applyFill="1" applyBorder="1" applyAlignment="1">
      <alignment horizontal="left"/>
    </xf>
    <xf numFmtId="14" fontId="19" fillId="0" borderId="64" xfId="0" applyNumberFormat="1" applyFont="1" applyBorder="1"/>
    <xf numFmtId="0" fontId="19" fillId="20" borderId="11" xfId="0" applyFont="1" applyFill="1" applyBorder="1" applyAlignment="1">
      <alignment horizontal="center"/>
    </xf>
    <xf numFmtId="0" fontId="19" fillId="0" borderId="37" xfId="0" applyNumberFormat="1" applyFont="1" applyFill="1" applyBorder="1" applyAlignment="1">
      <alignment horizontal="left" indent="1"/>
    </xf>
    <xf numFmtId="49" fontId="19" fillId="0" borderId="65" xfId="0" applyNumberFormat="1" applyFont="1" applyFill="1" applyBorder="1" applyAlignment="1">
      <alignment horizontal="left" indent="1"/>
    </xf>
    <xf numFmtId="0" fontId="19" fillId="20" borderId="37" xfId="0" applyFont="1" applyFill="1" applyBorder="1" applyAlignment="1">
      <alignment horizontal="center"/>
    </xf>
    <xf numFmtId="0" fontId="20" fillId="0" borderId="0" xfId="0" applyFont="1" applyAlignment="1">
      <alignment vertical="center" wrapText="1"/>
    </xf>
    <xf numFmtId="49" fontId="19" fillId="0" borderId="64" xfId="0" applyNumberFormat="1" applyFont="1" applyFill="1" applyBorder="1" applyAlignment="1">
      <alignment horizontal="left" indent="1"/>
    </xf>
    <xf numFmtId="0" fontId="32" fillId="28" borderId="66" xfId="0" applyFont="1" applyFill="1" applyBorder="1" applyAlignment="1">
      <alignment horizontal="center" vertical="center" wrapText="1"/>
    </xf>
    <xf numFmtId="0" fontId="32" fillId="28" borderId="67" xfId="0" applyFont="1" applyFill="1" applyBorder="1" applyAlignment="1">
      <alignment horizontal="center" vertical="center" wrapText="1"/>
    </xf>
    <xf numFmtId="0" fontId="32" fillId="28" borderId="68" xfId="0" applyFont="1" applyFill="1" applyBorder="1" applyAlignment="1">
      <alignment horizontal="center" vertical="center" wrapText="1"/>
    </xf>
    <xf numFmtId="0" fontId="32" fillId="28" borderId="69" xfId="0" applyFont="1" applyFill="1" applyBorder="1" applyAlignment="1">
      <alignment horizontal="center"/>
    </xf>
    <xf numFmtId="0" fontId="32" fillId="28" borderId="37" xfId="0" applyFont="1" applyFill="1" applyBorder="1"/>
    <xf numFmtId="0" fontId="32" fillId="28" borderId="65" xfId="0" applyFont="1" applyFill="1" applyBorder="1"/>
    <xf numFmtId="0" fontId="25" fillId="25" borderId="58" xfId="0" applyFont="1" applyFill="1" applyBorder="1" applyAlignment="1">
      <alignment horizontal="center"/>
    </xf>
    <xf numFmtId="0" fontId="25" fillId="25" borderId="59" xfId="0" applyFont="1" applyFill="1" applyBorder="1" applyAlignment="1">
      <alignment horizontal="center"/>
    </xf>
    <xf numFmtId="0" fontId="25" fillId="25" borderId="60" xfId="0" applyFont="1" applyFill="1" applyBorder="1" applyAlignment="1">
      <alignment horizontal="center"/>
    </xf>
    <xf numFmtId="0" fontId="24" fillId="28" borderId="19" xfId="0" applyFont="1" applyFill="1" applyBorder="1" applyAlignment="1">
      <alignment horizontal="center"/>
    </xf>
    <xf numFmtId="0" fontId="24" fillId="28" borderId="20" xfId="0" applyFont="1" applyFill="1" applyBorder="1" applyAlignment="1">
      <alignment horizontal="center"/>
    </xf>
    <xf numFmtId="0" fontId="24" fillId="28" borderId="21" xfId="0" applyFont="1" applyFill="1" applyBorder="1" applyAlignment="1">
      <alignment horizontal="center"/>
    </xf>
    <xf numFmtId="16" fontId="25" fillId="20" borderId="24" xfId="0" applyNumberFormat="1" applyFont="1" applyFill="1" applyBorder="1" applyAlignment="1">
      <alignment horizontal="center"/>
    </xf>
    <xf numFmtId="16" fontId="25" fillId="20" borderId="25" xfId="0" applyNumberFormat="1" applyFont="1" applyFill="1" applyBorder="1" applyAlignment="1">
      <alignment horizontal="center"/>
    </xf>
    <xf numFmtId="16" fontId="25" fillId="20" borderId="61" xfId="0" applyNumberFormat="1" applyFont="1" applyFill="1" applyBorder="1" applyAlignment="1">
      <alignment horizontal="center"/>
    </xf>
    <xf numFmtId="0" fontId="20" fillId="20" borderId="26" xfId="0" applyFont="1" applyFill="1" applyBorder="1" applyAlignment="1">
      <alignment horizontal="center"/>
    </xf>
    <xf numFmtId="0" fontId="20" fillId="20" borderId="27" xfId="0" applyFont="1" applyFill="1" applyBorder="1" applyAlignment="1">
      <alignment horizontal="center"/>
    </xf>
    <xf numFmtId="0" fontId="20" fillId="20" borderId="28" xfId="0" applyFont="1" applyFill="1" applyBorder="1" applyAlignment="1">
      <alignment horizontal="center"/>
    </xf>
  </cellXfs>
  <cellStyles count="45">
    <cellStyle name="Accent1" xfId="1" builtinId="29" customBuiltin="1"/>
    <cellStyle name="Accent1 - 20%" xfId="2"/>
    <cellStyle name="Accent1 - 40%" xfId="3"/>
    <cellStyle name="Accent1 - 60%" xfId="4"/>
    <cellStyle name="Accent2" xfId="5" builtinId="33" customBuiltin="1"/>
    <cellStyle name="Accent2 - 20%" xfId="6"/>
    <cellStyle name="Accent2 - 40%" xfId="7"/>
    <cellStyle name="Accent2 - 60%" xfId="8"/>
    <cellStyle name="Accent3" xfId="9" builtinId="37" customBuiltin="1"/>
    <cellStyle name="Accent3 - 20%" xfId="10"/>
    <cellStyle name="Accent3 - 40%" xfId="11"/>
    <cellStyle name="Accent3 - 60%" xfId="12"/>
    <cellStyle name="Accent4" xfId="13" builtinId="41" customBuiltin="1"/>
    <cellStyle name="Accent4 - 20%" xfId="14"/>
    <cellStyle name="Accent4 - 40%" xfId="15"/>
    <cellStyle name="Accent4 - 60%" xfId="16"/>
    <cellStyle name="Accent5" xfId="17" builtinId="45" customBuiltin="1"/>
    <cellStyle name="Accent5 - 20%" xfId="18"/>
    <cellStyle name="Accent5 - 40%" xfId="19"/>
    <cellStyle name="Accent5 - 60%" xfId="20"/>
    <cellStyle name="Accent6" xfId="21" builtinId="49" customBuiltin="1"/>
    <cellStyle name="Accent6 - 20%" xfId="22"/>
    <cellStyle name="Accent6 - 40%" xfId="23"/>
    <cellStyle name="Accent6 - 60%" xfId="24"/>
    <cellStyle name="Bad" xfId="25" builtinId="27" customBuiltin="1"/>
    <cellStyle name="Calculation" xfId="26" builtinId="22" customBuiltin="1"/>
    <cellStyle name="Check Cell" xfId="27" builtinId="23" customBuiltin="1"/>
    <cellStyle name="Emphasis 1" xfId="28"/>
    <cellStyle name="Emphasis 2" xfId="29"/>
    <cellStyle name="Emphasis 3" xfId="30"/>
    <cellStyle name="Good" xfId="31" builtinId="26" customBuiltin="1"/>
    <cellStyle name="Heading 1" xfId="32" builtinId="16" customBuiltin="1"/>
    <cellStyle name="Heading 2" xfId="33" builtinId="17" customBuiltin="1"/>
    <cellStyle name="Heading 3" xfId="34" builtinId="18" customBuiltin="1"/>
    <cellStyle name="Heading 4" xfId="35" builtinId="19" customBuiltin="1"/>
    <cellStyle name="Input" xfId="36" builtinId="20" customBuiltin="1"/>
    <cellStyle name="Linked Cell" xfId="37" builtinId="24" customBuiltin="1"/>
    <cellStyle name="Neutral" xfId="38" builtinId="28" customBuiltin="1"/>
    <cellStyle name="Normal" xfId="0" builtinId="0"/>
    <cellStyle name="Normal 2" xfId="44"/>
    <cellStyle name="Note" xfId="39" builtinId="10" customBuiltin="1"/>
    <cellStyle name="Output" xfId="40" builtinId="21" customBuiltin="1"/>
    <cellStyle name="Sheet Title" xfId="41"/>
    <cellStyle name="Total" xfId="42" builtinId="25" customBuiltin="1"/>
    <cellStyle name="Warning Text" xfId="43" builtinId="11" customBuiltin="1"/>
  </cellStyles>
  <dxfs count="89"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7"/>
        </patternFill>
      </fill>
    </dxf>
    <dxf>
      <font>
        <b/>
        <i val="0"/>
        <condense val="0"/>
        <extend val="0"/>
        <color indexed="9"/>
      </font>
      <fill>
        <patternFill patternType="solid">
          <fgColor indexed="64"/>
          <bgColor indexed="57"/>
        </patternFill>
      </fill>
    </dxf>
    <dxf>
      <fill>
        <patternFill patternType="solid">
          <fgColor indexed="64"/>
          <bgColor indexed="42"/>
        </patternFill>
      </fill>
    </dxf>
    <dxf>
      <fill>
        <patternFill patternType="solid">
          <fgColor indexed="64"/>
          <bgColor indexed="45"/>
        </patternFill>
      </fill>
    </dxf>
    <dxf>
      <fill>
        <patternFill patternType="solid">
          <fgColor indexed="64"/>
          <bgColor indexed="11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3"/>
        </patternFill>
      </fill>
    </dxf>
    <dxf>
      <fill>
        <patternFill patternType="gray0625">
          <fgColor indexed="64"/>
          <bgColor indexed="65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1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ahoma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1" justifyLastLine="0" shrinkToFit="0" readingOrder="0"/>
      <border diagonalUp="0" diagonalDown="0">
        <left style="thin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ahoma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1" justifyLastLine="0" shrinkToFit="0" readingOrder="0"/>
      <border diagonalUp="0" diagonalDown="0">
        <left style="thin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ahoma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ahoma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ahoma"/>
        <family val="2"/>
        <scheme val="none"/>
      </font>
      <numFmt numFmtId="19" formatCode="yyyy/m/d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ahoma"/>
        <family val="2"/>
        <scheme val="none"/>
      </font>
      <numFmt numFmtId="19" formatCode="yyyy/m/d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ahoma"/>
        <family val="2"/>
        <scheme val="none"/>
      </font>
      <numFmt numFmtId="1" formatCode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ahoma"/>
        <family val="2"/>
        <scheme val="none"/>
      </font>
      <fill>
        <patternFill patternType="solid">
          <fgColor indexed="64"/>
          <bgColor indexed="9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ahoma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ahoma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ahoma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ahoma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ahoma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1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Tahoma"/>
        <family val="2"/>
        <scheme val="none"/>
      </font>
      <fill>
        <patternFill patternType="solid">
          <fgColor indexed="64"/>
          <bgColor theme="4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</dxfs>
  <tableStyles count="0" defaultTableStyle="TableStyleMedium9" defaultPivotStyle="PivotStyleLight16"/>
  <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'Project Specific Reports'!$A$2</c:f>
              <c:strCache>
                <c:ptCount val="1"/>
                <c:pt idx="0">
                  <c:v>Project</c:v>
                </c:pt>
              </c:strCache>
            </c:strRef>
          </c:tx>
          <c:invertIfNegative val="0"/>
          <c:val>
            <c:numRef>
              <c:f>'Project Specific Reports'!$B$2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94-4675-91FC-0204732A18E5}"/>
            </c:ext>
          </c:extLst>
        </c:ser>
        <c:ser>
          <c:idx val="1"/>
          <c:order val="1"/>
          <c:tx>
            <c:strRef>
              <c:f>'Project Specific Reports'!$A$3</c:f>
              <c:strCache>
                <c:ptCount val="1"/>
                <c:pt idx="0">
                  <c:v>Refactoring</c:v>
                </c:pt>
              </c:strCache>
            </c:strRef>
          </c:tx>
          <c:invertIfNegative val="0"/>
          <c:val>
            <c:numRef>
              <c:f>'Project Specific Reports'!$B$3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A94-4675-91FC-0204732A18E5}"/>
            </c:ext>
          </c:extLst>
        </c:ser>
        <c:ser>
          <c:idx val="2"/>
          <c:order val="2"/>
          <c:tx>
            <c:strRef>
              <c:f>'Project Specific Reports'!$A$4</c:f>
              <c:strCache>
                <c:ptCount val="1"/>
                <c:pt idx="0">
                  <c:v>FixBug</c:v>
                </c:pt>
              </c:strCache>
            </c:strRef>
          </c:tx>
          <c:invertIfNegative val="0"/>
          <c:val>
            <c:numRef>
              <c:f>'Project Specific Reports'!$B$4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A94-4675-91FC-0204732A18E5}"/>
            </c:ext>
          </c:extLst>
        </c:ser>
        <c:ser>
          <c:idx val="3"/>
          <c:order val="3"/>
          <c:tx>
            <c:strRef>
              <c:f>'Project Specific Reports'!$A$5</c:f>
              <c:strCache>
                <c:ptCount val="1"/>
                <c:pt idx="0">
                  <c:v>CR</c:v>
                </c:pt>
              </c:strCache>
            </c:strRef>
          </c:tx>
          <c:invertIfNegative val="0"/>
          <c:val>
            <c:numRef>
              <c:f>'Project Specific Reports'!$B$5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A94-4675-91FC-0204732A18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3344768"/>
        <c:axId val="103346560"/>
      </c:barChart>
      <c:catAx>
        <c:axId val="103344768"/>
        <c:scaling>
          <c:orientation val="minMax"/>
        </c:scaling>
        <c:delete val="0"/>
        <c:axPos val="b"/>
        <c:majorTickMark val="out"/>
        <c:minorTickMark val="none"/>
        <c:tickLblPos val="nextTo"/>
        <c:crossAx val="103346560"/>
        <c:crosses val="autoZero"/>
        <c:auto val="1"/>
        <c:lblAlgn val="ctr"/>
        <c:lblOffset val="100"/>
        <c:noMultiLvlLbl val="0"/>
      </c:catAx>
      <c:valAx>
        <c:axId val="103346560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10334476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'Project Specific Reports'!$A$9</c:f>
              <c:strCache>
                <c:ptCount val="1"/>
                <c:pt idx="0">
                  <c:v>酒店产品</c:v>
                </c:pt>
              </c:strCache>
            </c:strRef>
          </c:tx>
          <c:invertIfNegative val="0"/>
          <c:val>
            <c:numRef>
              <c:f>'Project Specific Reports'!$B$9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8CA-471A-8FDA-538942BCDDBC}"/>
            </c:ext>
          </c:extLst>
        </c:ser>
        <c:ser>
          <c:idx val="1"/>
          <c:order val="1"/>
          <c:tx>
            <c:strRef>
              <c:f>'Project Specific Reports'!$A$10</c:f>
              <c:strCache>
                <c:ptCount val="1"/>
                <c:pt idx="0">
                  <c:v>房型产品</c:v>
                </c:pt>
              </c:strCache>
            </c:strRef>
          </c:tx>
          <c:invertIfNegative val="0"/>
          <c:val>
            <c:numRef>
              <c:f>'Project Specific Reports'!$B$10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8CA-471A-8FDA-538942BCDDBC}"/>
            </c:ext>
          </c:extLst>
        </c:ser>
        <c:ser>
          <c:idx val="2"/>
          <c:order val="2"/>
          <c:tx>
            <c:strRef>
              <c:f>'Project Specific Reports'!$A$11</c:f>
              <c:strCache>
                <c:ptCount val="1"/>
                <c:pt idx="0">
                  <c:v>产品详情</c:v>
                </c:pt>
              </c:strCache>
            </c:strRef>
          </c:tx>
          <c:invertIfNegative val="0"/>
          <c:val>
            <c:numRef>
              <c:f>'Project Specific Reports'!$B$11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8CA-471A-8FDA-538942BCDDBC}"/>
            </c:ext>
          </c:extLst>
        </c:ser>
        <c:ser>
          <c:idx val="3"/>
          <c:order val="3"/>
          <c:tx>
            <c:strRef>
              <c:f>'Project Specific Reports'!$A$12</c:f>
              <c:strCache>
                <c:ptCount val="1"/>
                <c:pt idx="0">
                  <c:v>基础信息</c:v>
                </c:pt>
              </c:strCache>
            </c:strRef>
          </c:tx>
          <c:invertIfNegative val="0"/>
          <c:val>
            <c:numRef>
              <c:f>'Project Specific Reports'!$B$12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8CA-471A-8FDA-538942BCDDBC}"/>
            </c:ext>
          </c:extLst>
        </c:ser>
        <c:ser>
          <c:idx val="4"/>
          <c:order val="4"/>
          <c:tx>
            <c:strRef>
              <c:f>'Project Specific Reports'!$A$13</c:f>
              <c:strCache>
                <c:ptCount val="1"/>
                <c:pt idx="0">
                  <c:v>房价</c:v>
                </c:pt>
              </c:strCache>
            </c:strRef>
          </c:tx>
          <c:invertIfNegative val="0"/>
          <c:val>
            <c:numRef>
              <c:f>'Project Specific Reports'!$B$13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8CA-471A-8FDA-538942BCDDBC}"/>
            </c:ext>
          </c:extLst>
        </c:ser>
        <c:ser>
          <c:idx val="5"/>
          <c:order val="5"/>
          <c:tx>
            <c:strRef>
              <c:f>'Project Specific Reports'!$A$14</c:f>
              <c:strCache>
                <c:ptCount val="1"/>
                <c:pt idx="0">
                  <c:v>房态</c:v>
                </c:pt>
              </c:strCache>
              <c:extLst xmlns:c15="http://schemas.microsoft.com/office/drawing/2012/chart"/>
            </c:strRef>
          </c:tx>
          <c:invertIfNegative val="0"/>
          <c:val>
            <c:numRef>
              <c:f>'Project Specific Reports'!$B$14</c:f>
              <c:numCache>
                <c:formatCode>General</c:formatCode>
                <c:ptCount val="1"/>
                <c:pt idx="0">
                  <c:v>0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5-D8CA-471A-8FDA-538942BCDDBC}"/>
            </c:ext>
          </c:extLst>
        </c:ser>
        <c:ser>
          <c:idx val="6"/>
          <c:order val="6"/>
          <c:tx>
            <c:strRef>
              <c:f>'Project Specific Reports'!$A$15</c:f>
              <c:strCache>
                <c:ptCount val="1"/>
                <c:pt idx="0">
                  <c:v>房量</c:v>
                </c:pt>
              </c:strCache>
              <c:extLst xmlns:c15="http://schemas.microsoft.com/office/drawing/2012/chart"/>
            </c:strRef>
          </c:tx>
          <c:invertIfNegative val="0"/>
          <c:val>
            <c:numRef>
              <c:f>'Project Specific Reports'!$B$15</c:f>
              <c:numCache>
                <c:formatCode>General</c:formatCode>
                <c:ptCount val="1"/>
                <c:pt idx="0">
                  <c:v>0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6-D8CA-471A-8FDA-538942BCDDBC}"/>
            </c:ext>
          </c:extLst>
        </c:ser>
        <c:ser>
          <c:idx val="7"/>
          <c:order val="7"/>
          <c:tx>
            <c:strRef>
              <c:f>'Project Specific Reports'!$A$16</c:f>
              <c:strCache>
                <c:ptCount val="1"/>
                <c:pt idx="0">
                  <c:v>工作流</c:v>
                </c:pt>
              </c:strCache>
              <c:extLst xmlns:c15="http://schemas.microsoft.com/office/drawing/2012/chart"/>
            </c:strRef>
          </c:tx>
          <c:invertIfNegative val="0"/>
          <c:val>
            <c:numRef>
              <c:f>'Project Specific Reports'!$B$16</c:f>
              <c:numCache>
                <c:formatCode>General</c:formatCode>
                <c:ptCount val="1"/>
                <c:pt idx="0">
                  <c:v>0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7-D8CA-471A-8FDA-538942BCDDBC}"/>
            </c:ext>
          </c:extLst>
        </c:ser>
        <c:ser>
          <c:idx val="8"/>
          <c:order val="8"/>
          <c:tx>
            <c:strRef>
              <c:f>'Project Specific Reports'!$A$17</c:f>
              <c:strCache>
                <c:ptCount val="1"/>
                <c:pt idx="0">
                  <c:v>OA相关</c:v>
                </c:pt>
              </c:strCache>
              <c:extLst xmlns:c15="http://schemas.microsoft.com/office/drawing/2012/chart"/>
            </c:strRef>
          </c:tx>
          <c:invertIfNegative val="0"/>
          <c:val>
            <c:numRef>
              <c:f>'Project Specific Reports'!$B$17</c:f>
              <c:numCache>
                <c:formatCode>General</c:formatCode>
                <c:ptCount val="1"/>
                <c:pt idx="0">
                  <c:v>0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8-D8CA-471A-8FDA-538942BCDDBC}"/>
            </c:ext>
          </c:extLst>
        </c:ser>
        <c:ser>
          <c:idx val="9"/>
          <c:order val="9"/>
          <c:tx>
            <c:strRef>
              <c:f>'Project Specific Reports'!$A$18</c:f>
              <c:strCache>
                <c:ptCount val="1"/>
                <c:pt idx="0">
                  <c:v>国际化</c:v>
                </c:pt>
              </c:strCache>
              <c:extLst xmlns:c15="http://schemas.microsoft.com/office/drawing/2012/chart"/>
            </c:strRef>
          </c:tx>
          <c:invertIfNegative val="0"/>
          <c:val>
            <c:numRef>
              <c:f>'Project Specific Reports'!$B$18</c:f>
              <c:numCache>
                <c:formatCode>General</c:formatCode>
                <c:ptCount val="1"/>
                <c:pt idx="0">
                  <c:v>0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9-D8CA-471A-8FDA-538942BCDDBC}"/>
            </c:ext>
          </c:extLst>
        </c:ser>
        <c:ser>
          <c:idx val="10"/>
          <c:order val="10"/>
          <c:tx>
            <c:strRef>
              <c:f>'Project Specific Reports'!$A$19</c:f>
              <c:strCache>
                <c:ptCount val="1"/>
                <c:pt idx="0">
                  <c:v>优惠促销</c:v>
                </c:pt>
              </c:strCache>
              <c:extLst xmlns:c15="http://schemas.microsoft.com/office/drawing/2012/chart"/>
            </c:strRef>
          </c:tx>
          <c:invertIfNegative val="0"/>
          <c:val>
            <c:numRef>
              <c:f>'Project Specific Reports'!$B$19</c:f>
              <c:numCache>
                <c:formatCode>General</c:formatCode>
                <c:ptCount val="1"/>
                <c:pt idx="0">
                  <c:v>0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A-D8CA-471A-8FDA-538942BCDD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3153664"/>
        <c:axId val="103155200"/>
        <c:extLst>
          <c:ext xmlns:c15="http://schemas.microsoft.com/office/drawing/2012/chart" uri="{02D57815-91ED-43cb-92C2-25804820EDAC}">
            <c15:filteredBarSeries>
              <c15:ser>
                <c:idx val="11"/>
                <c:order val="11"/>
                <c:tx>
                  <c:strRef>
                    <c:extLst>
                      <c:ext uri="{02D57815-91ED-43cb-92C2-25804820EDAC}">
                        <c15:formulaRef>
                          <c15:sqref>'Project Specific Reports'!$A$20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invertIfNegative val="0"/>
                <c:val>
                  <c:numRef>
                    <c:extLst>
                      <c:ext uri="{02D57815-91ED-43cb-92C2-25804820EDAC}">
                        <c15:formulaRef>
                          <c15:sqref>'Project Specific Reports'!$B$20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B-D8CA-471A-8FDA-538942BCDDBC}"/>
                  </c:ext>
                </c:extLst>
              </c15:ser>
            </c15:filteredBarSeries>
            <c15:filteredBar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'Project Specific Reports'!$A$21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invertIfNegative val="0"/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'Project Specific Reports'!$B$21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D8CA-471A-8FDA-538942BCDDBC}"/>
                  </c:ext>
                </c:extLst>
              </c15:ser>
            </c15:filteredBarSeries>
            <c15:filteredBa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'Project Specific Reports'!$A$22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invertIfNegative val="0"/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'Project Specific Reports'!$B$22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D8CA-471A-8FDA-538942BCDDBC}"/>
                  </c:ext>
                </c:extLst>
              </c15:ser>
            </c15:filteredBarSeries>
            <c15:filteredBarSeries>
              <c15:ser>
                <c:idx val="14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'Project Specific Reports'!$A$23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invertIfNegative val="0"/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'Project Specific Reports'!$B$23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D8CA-471A-8FDA-538942BCDDBC}"/>
                  </c:ext>
                </c:extLst>
              </c15:ser>
            </c15:filteredBarSeries>
            <c15:filteredBarSeries>
              <c15:ser>
                <c:idx val="15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'Project Specific Reports'!$A$24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invertIfNegative val="0"/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'Project Specific Reports'!$B$24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D8CA-471A-8FDA-538942BCDDBC}"/>
                  </c:ext>
                </c:extLst>
              </c15:ser>
            </c15:filteredBarSeries>
          </c:ext>
        </c:extLst>
      </c:barChart>
      <c:catAx>
        <c:axId val="103153664"/>
        <c:scaling>
          <c:orientation val="minMax"/>
        </c:scaling>
        <c:delete val="0"/>
        <c:axPos val="b"/>
        <c:majorTickMark val="out"/>
        <c:minorTickMark val="none"/>
        <c:tickLblPos val="nextTo"/>
        <c:crossAx val="103155200"/>
        <c:crosses val="autoZero"/>
        <c:auto val="1"/>
        <c:lblAlgn val="ctr"/>
        <c:lblOffset val="100"/>
        <c:noMultiLvlLbl val="0"/>
      </c:catAx>
      <c:valAx>
        <c:axId val="103155200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10315366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'Project Specific Reports'!$A$28</c:f>
              <c:strCache>
                <c:ptCount val="1"/>
                <c:pt idx="0">
                  <c:v>Complete</c:v>
                </c:pt>
              </c:strCache>
            </c:strRef>
          </c:tx>
          <c:invertIfNegative val="0"/>
          <c:val>
            <c:numRef>
              <c:f>'Project Specific Reports'!$B$28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AB-4836-B0DA-028B40BCC938}"/>
            </c:ext>
          </c:extLst>
        </c:ser>
        <c:ser>
          <c:idx val="1"/>
          <c:order val="1"/>
          <c:tx>
            <c:strRef>
              <c:f>'Project Specific Reports'!$A$29</c:f>
              <c:strCache>
                <c:ptCount val="1"/>
                <c:pt idx="0">
                  <c:v>In Progress</c:v>
                </c:pt>
              </c:strCache>
            </c:strRef>
          </c:tx>
          <c:invertIfNegative val="0"/>
          <c:val>
            <c:numRef>
              <c:f>'Project Specific Reports'!$B$29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7AB-4836-B0DA-028B40BCC938}"/>
            </c:ext>
          </c:extLst>
        </c:ser>
        <c:ser>
          <c:idx val="2"/>
          <c:order val="2"/>
          <c:tx>
            <c:strRef>
              <c:f>'Project Specific Reports'!$A$30</c:f>
              <c:strCache>
                <c:ptCount val="1"/>
                <c:pt idx="0">
                  <c:v>Pending</c:v>
                </c:pt>
              </c:strCache>
            </c:strRef>
          </c:tx>
          <c:invertIfNegative val="0"/>
          <c:val>
            <c:numRef>
              <c:f>'Project Specific Reports'!$B$30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7AB-4836-B0DA-028B40BCC938}"/>
            </c:ext>
          </c:extLst>
        </c:ser>
        <c:ser>
          <c:idx val="3"/>
          <c:order val="3"/>
          <c:tx>
            <c:strRef>
              <c:f>'Project Specific Reports'!$A$31</c:f>
              <c:strCache>
                <c:ptCount val="1"/>
                <c:pt idx="0">
                  <c:v>Postponed</c:v>
                </c:pt>
              </c:strCache>
            </c:strRef>
          </c:tx>
          <c:invertIfNegative val="0"/>
          <c:val>
            <c:numRef>
              <c:f>'Project Specific Reports'!$B$31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7AB-4836-B0DA-028B40BCC938}"/>
            </c:ext>
          </c:extLst>
        </c:ser>
        <c:ser>
          <c:idx val="4"/>
          <c:order val="4"/>
          <c:tx>
            <c:strRef>
              <c:f>'Project Specific Reports'!$A$32</c:f>
              <c:strCache>
                <c:ptCount val="1"/>
                <c:pt idx="0">
                  <c:v>Cancelled</c:v>
                </c:pt>
              </c:strCache>
            </c:strRef>
          </c:tx>
          <c:invertIfNegative val="0"/>
          <c:val>
            <c:numRef>
              <c:f>'Project Specific Reports'!$B$32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7AB-4836-B0DA-028B40BCC9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3188352"/>
        <c:axId val="103189888"/>
      </c:barChart>
      <c:catAx>
        <c:axId val="103188352"/>
        <c:scaling>
          <c:orientation val="minMax"/>
        </c:scaling>
        <c:delete val="0"/>
        <c:axPos val="b"/>
        <c:majorTickMark val="out"/>
        <c:minorTickMark val="none"/>
        <c:tickLblPos val="nextTo"/>
        <c:crossAx val="103189888"/>
        <c:crosses val="autoZero"/>
        <c:auto val="1"/>
        <c:lblAlgn val="ctr"/>
        <c:lblOffset val="100"/>
        <c:noMultiLvlLbl val="0"/>
      </c:catAx>
      <c:valAx>
        <c:axId val="103189888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103188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</xdr:colOff>
      <xdr:row>1</xdr:row>
      <xdr:rowOff>19050</xdr:rowOff>
    </xdr:from>
    <xdr:to>
      <xdr:col>11</xdr:col>
      <xdr:colOff>333375</xdr:colOff>
      <xdr:row>15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495299</xdr:colOff>
      <xdr:row>1</xdr:row>
      <xdr:rowOff>19049</xdr:rowOff>
    </xdr:from>
    <xdr:to>
      <xdr:col>21</xdr:col>
      <xdr:colOff>47624</xdr:colOff>
      <xdr:row>22</xdr:row>
      <xdr:rowOff>47624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28575</xdr:colOff>
      <xdr:row>17</xdr:row>
      <xdr:rowOff>0</xdr:rowOff>
    </xdr:from>
    <xdr:to>
      <xdr:col>11</xdr:col>
      <xdr:colOff>333375</xdr:colOff>
      <xdr:row>31</xdr:row>
      <xdr:rowOff>104775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1" name="Backlog" displayName="Backlog" ref="A1:M67" totalsRowShown="0" headerRowDxfId="40" headerRowBorderDxfId="39" tableBorderDxfId="38">
  <autoFilter ref="A1:M67"/>
  <tableColumns count="13">
    <tableColumn id="1" name="Type" dataDxfId="37"/>
    <tableColumn id="2" name="Area" dataDxfId="36"/>
    <tableColumn id="3" name="Feature/Project" dataDxfId="35"/>
    <tableColumn id="4" name="CP4 ID" dataDxfId="34"/>
    <tableColumn id="5" name="Work item Description" dataDxfId="33"/>
    <tableColumn id="6" name="Dev" dataDxfId="32"/>
    <tableColumn id="7" name="Coding Hours" dataDxfId="31"/>
    <tableColumn id="8" name="Coding Due Date" dataDxfId="30"/>
    <tableColumn id="9" name="Deliver Date" dataDxfId="29"/>
    <tableColumn id="10" name="Demander" dataDxfId="28"/>
    <tableColumn id="11" name="PM" dataDxfId="27"/>
    <tableColumn id="12" name="Tester" dataDxfId="26"/>
    <tableColumn id="13" name="Status" dataDxfId="25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69"/>
  <sheetViews>
    <sheetView tabSelected="1" zoomScaleNormal="100" workbookViewId="0">
      <pane xSplit="9" ySplit="1" topLeftCell="J29" activePane="bottomRight" state="frozen"/>
      <selection pane="topRight" activeCell="J1" sqref="J1"/>
      <selection pane="bottomLeft" activeCell="A2" sqref="A2"/>
      <selection pane="bottomRight" activeCell="A3" sqref="A3:XFD3"/>
    </sheetView>
  </sheetViews>
  <sheetFormatPr defaultRowHeight="12.75" x14ac:dyDescent="0.2"/>
  <cols>
    <col min="1" max="1" width="9.85546875" style="1" customWidth="1"/>
    <col min="2" max="2" width="11.5703125" style="1" customWidth="1"/>
    <col min="3" max="3" width="18.28515625" style="1" customWidth="1"/>
    <col min="4" max="4" width="14.42578125" style="1" customWidth="1"/>
    <col min="5" max="5" width="99.28515625" style="1" customWidth="1"/>
    <col min="6" max="6" width="13.42578125" style="1" customWidth="1"/>
    <col min="7" max="7" width="15.28515625" style="1" customWidth="1"/>
    <col min="8" max="8" width="12.42578125" style="1" customWidth="1"/>
    <col min="9" max="9" width="11.85546875" style="1" customWidth="1"/>
    <col min="10" max="10" width="12.5703125" style="1" customWidth="1"/>
    <col min="11" max="12" width="9.140625" style="1"/>
    <col min="13" max="13" width="11.140625" style="1" customWidth="1"/>
    <col min="14" max="16384" width="9.140625" style="1"/>
  </cols>
  <sheetData>
    <row r="1" spans="1:13" s="133" customFormat="1" ht="38.25" customHeight="1" x14ac:dyDescent="0.2">
      <c r="A1" s="135" t="s">
        <v>88</v>
      </c>
      <c r="B1" s="136" t="s">
        <v>89</v>
      </c>
      <c r="C1" s="136" t="s">
        <v>90</v>
      </c>
      <c r="D1" s="136" t="s">
        <v>91</v>
      </c>
      <c r="E1" s="136" t="s">
        <v>86</v>
      </c>
      <c r="F1" s="136" t="s">
        <v>92</v>
      </c>
      <c r="G1" s="136" t="s">
        <v>93</v>
      </c>
      <c r="H1" s="136" t="s">
        <v>94</v>
      </c>
      <c r="I1" s="136" t="s">
        <v>95</v>
      </c>
      <c r="J1" s="136" t="s">
        <v>96</v>
      </c>
      <c r="K1" s="136" t="s">
        <v>97</v>
      </c>
      <c r="L1" s="136" t="s">
        <v>98</v>
      </c>
      <c r="M1" s="137" t="s">
        <v>99</v>
      </c>
    </row>
    <row r="2" spans="1:13" x14ac:dyDescent="0.2">
      <c r="A2" s="134"/>
      <c r="B2" s="2"/>
      <c r="C2" s="2"/>
      <c r="D2" s="3"/>
      <c r="E2" s="127"/>
      <c r="F2" s="129"/>
      <c r="G2" s="124"/>
      <c r="H2" s="128"/>
      <c r="I2" s="126"/>
      <c r="J2" s="2"/>
      <c r="K2" s="2"/>
      <c r="L2" s="125"/>
      <c r="M2" s="125"/>
    </row>
    <row r="3" spans="1:13" x14ac:dyDescent="0.2">
      <c r="A3" s="134"/>
      <c r="B3" s="2"/>
      <c r="C3" s="2"/>
      <c r="D3" s="3"/>
      <c r="E3" s="127"/>
      <c r="F3" s="129"/>
      <c r="G3" s="124"/>
      <c r="H3" s="128"/>
      <c r="I3" s="126"/>
      <c r="J3" s="2"/>
      <c r="K3" s="2"/>
      <c r="L3" s="125"/>
      <c r="M3" s="125"/>
    </row>
    <row r="4" spans="1:13" x14ac:dyDescent="0.2">
      <c r="A4" s="134"/>
      <c r="B4" s="2"/>
      <c r="C4" s="2"/>
      <c r="D4" s="3"/>
      <c r="E4" s="127"/>
      <c r="F4" s="129"/>
      <c r="G4" s="124"/>
      <c r="H4" s="128"/>
      <c r="I4" s="126"/>
      <c r="J4" s="2"/>
      <c r="K4" s="2"/>
      <c r="L4" s="125"/>
      <c r="M4" s="125"/>
    </row>
    <row r="5" spans="1:13" x14ac:dyDescent="0.2">
      <c r="A5" s="134"/>
      <c r="B5" s="2"/>
      <c r="C5" s="2"/>
      <c r="D5" s="3"/>
      <c r="E5" s="127"/>
      <c r="F5" s="129"/>
      <c r="G5" s="124"/>
      <c r="H5" s="128"/>
      <c r="I5" s="126"/>
      <c r="J5" s="2"/>
      <c r="K5" s="2"/>
      <c r="L5" s="125"/>
      <c r="M5" s="125"/>
    </row>
    <row r="6" spans="1:13" x14ac:dyDescent="0.2">
      <c r="A6" s="134"/>
      <c r="B6" s="2"/>
      <c r="C6" s="2"/>
      <c r="D6" s="3"/>
      <c r="E6" s="127"/>
      <c r="F6" s="129"/>
      <c r="G6" s="124"/>
      <c r="H6" s="128"/>
      <c r="I6" s="126"/>
      <c r="J6" s="2"/>
      <c r="K6" s="2"/>
      <c r="L6" s="125"/>
      <c r="M6" s="125"/>
    </row>
    <row r="7" spans="1:13" x14ac:dyDescent="0.2">
      <c r="A7" s="134"/>
      <c r="B7" s="2"/>
      <c r="C7" s="2"/>
      <c r="D7" s="3"/>
      <c r="E7" s="127"/>
      <c r="F7" s="129"/>
      <c r="G7" s="124"/>
      <c r="H7" s="128"/>
      <c r="I7" s="126"/>
      <c r="J7" s="2"/>
      <c r="K7" s="2"/>
      <c r="L7" s="125"/>
      <c r="M7" s="125"/>
    </row>
    <row r="8" spans="1:13" x14ac:dyDescent="0.2">
      <c r="A8" s="134"/>
      <c r="B8" s="2"/>
      <c r="C8" s="2"/>
      <c r="D8" s="3"/>
      <c r="E8" s="127"/>
      <c r="F8" s="129"/>
      <c r="G8" s="124"/>
      <c r="H8" s="128"/>
      <c r="I8" s="126"/>
      <c r="J8" s="2"/>
      <c r="K8" s="2"/>
      <c r="L8" s="125"/>
      <c r="M8" s="125"/>
    </row>
    <row r="9" spans="1:13" x14ac:dyDescent="0.2">
      <c r="A9" s="134"/>
      <c r="B9" s="2"/>
      <c r="C9" s="2"/>
      <c r="D9" s="3"/>
      <c r="E9" s="127"/>
      <c r="F9" s="129"/>
      <c r="G9" s="124"/>
      <c r="H9" s="128"/>
      <c r="I9" s="126"/>
      <c r="J9" s="2"/>
      <c r="K9" s="2"/>
      <c r="L9" s="125"/>
      <c r="M9" s="125"/>
    </row>
    <row r="10" spans="1:13" x14ac:dyDescent="0.2">
      <c r="A10" s="134"/>
      <c r="B10" s="2"/>
      <c r="C10" s="2"/>
      <c r="D10" s="3"/>
      <c r="E10" s="127"/>
      <c r="F10" s="129"/>
      <c r="G10" s="124"/>
      <c r="H10" s="128"/>
      <c r="I10" s="126"/>
      <c r="J10" s="2"/>
      <c r="K10" s="2"/>
      <c r="L10" s="125"/>
      <c r="M10" s="125"/>
    </row>
    <row r="11" spans="1:13" x14ac:dyDescent="0.2">
      <c r="A11" s="134"/>
      <c r="B11" s="2"/>
      <c r="C11" s="2"/>
      <c r="D11" s="3"/>
      <c r="E11" s="127"/>
      <c r="F11" s="129"/>
      <c r="G11" s="124"/>
      <c r="H11" s="128"/>
      <c r="I11" s="126"/>
      <c r="J11" s="2"/>
      <c r="K11" s="2"/>
      <c r="L11" s="125"/>
      <c r="M11" s="125"/>
    </row>
    <row r="12" spans="1:13" x14ac:dyDescent="0.2">
      <c r="A12" s="134"/>
      <c r="B12" s="2"/>
      <c r="C12" s="2"/>
      <c r="D12" s="3"/>
      <c r="E12" s="127"/>
      <c r="F12" s="129"/>
      <c r="G12" s="124"/>
      <c r="H12" s="128"/>
      <c r="I12" s="126"/>
      <c r="J12" s="2"/>
      <c r="K12" s="2"/>
      <c r="L12" s="125"/>
      <c r="M12" s="125"/>
    </row>
    <row r="13" spans="1:13" x14ac:dyDescent="0.2">
      <c r="A13" s="134"/>
      <c r="B13" s="2"/>
      <c r="C13" s="2"/>
      <c r="D13" s="3"/>
      <c r="E13" s="127"/>
      <c r="F13" s="129"/>
      <c r="G13" s="124"/>
      <c r="H13" s="128"/>
      <c r="I13" s="126"/>
      <c r="J13" s="2"/>
      <c r="K13" s="2"/>
      <c r="L13" s="125"/>
      <c r="M13" s="125"/>
    </row>
    <row r="14" spans="1:13" x14ac:dyDescent="0.2">
      <c r="A14" s="134"/>
      <c r="B14" s="2"/>
      <c r="C14" s="2"/>
      <c r="D14" s="3"/>
      <c r="E14" s="127"/>
      <c r="F14" s="129"/>
      <c r="G14" s="124"/>
      <c r="H14" s="128"/>
      <c r="I14" s="126"/>
      <c r="J14" s="2"/>
      <c r="K14" s="2"/>
      <c r="L14" s="125"/>
      <c r="M14" s="125"/>
    </row>
    <row r="15" spans="1:13" x14ac:dyDescent="0.2">
      <c r="A15" s="134"/>
      <c r="B15" s="2"/>
      <c r="C15" s="2"/>
      <c r="D15" s="3"/>
      <c r="E15" s="127"/>
      <c r="F15" s="129"/>
      <c r="G15" s="124"/>
      <c r="H15" s="128"/>
      <c r="I15" s="126"/>
      <c r="J15" s="2"/>
      <c r="K15" s="2"/>
      <c r="L15" s="125"/>
      <c r="M15" s="125"/>
    </row>
    <row r="16" spans="1:13" x14ac:dyDescent="0.2">
      <c r="A16" s="134"/>
      <c r="B16" s="2"/>
      <c r="C16" s="2"/>
      <c r="D16" s="3"/>
      <c r="E16" s="127"/>
      <c r="F16" s="129"/>
      <c r="G16" s="124"/>
      <c r="H16" s="128"/>
      <c r="I16" s="126"/>
      <c r="J16" s="2"/>
      <c r="K16" s="2"/>
      <c r="L16" s="125"/>
      <c r="M16" s="125"/>
    </row>
    <row r="17" spans="1:13" x14ac:dyDescent="0.2">
      <c r="A17" s="134"/>
      <c r="B17" s="2"/>
      <c r="C17" s="2"/>
      <c r="D17" s="3"/>
      <c r="E17" s="127"/>
      <c r="F17" s="129"/>
      <c r="G17" s="124"/>
      <c r="H17" s="128"/>
      <c r="I17" s="126"/>
      <c r="J17" s="2"/>
      <c r="K17" s="2"/>
      <c r="L17" s="125"/>
      <c r="M17" s="125"/>
    </row>
    <row r="18" spans="1:13" x14ac:dyDescent="0.2">
      <c r="A18" s="134"/>
      <c r="B18" s="2"/>
      <c r="C18" s="2"/>
      <c r="D18" s="3"/>
      <c r="E18" s="127"/>
      <c r="F18" s="129"/>
      <c r="G18" s="124"/>
      <c r="H18" s="128"/>
      <c r="I18" s="126"/>
      <c r="J18" s="2"/>
      <c r="K18" s="2"/>
      <c r="L18" s="125"/>
      <c r="M18" s="125"/>
    </row>
    <row r="19" spans="1:13" x14ac:dyDescent="0.2">
      <c r="A19" s="134"/>
      <c r="B19" s="2"/>
      <c r="C19" s="2"/>
      <c r="D19" s="3"/>
      <c r="E19" s="127"/>
      <c r="F19" s="129"/>
      <c r="G19" s="124"/>
      <c r="H19" s="128"/>
      <c r="I19" s="126"/>
      <c r="J19" s="2"/>
      <c r="K19" s="2"/>
      <c r="L19" s="125"/>
      <c r="M19" s="125"/>
    </row>
    <row r="20" spans="1:13" x14ac:dyDescent="0.2">
      <c r="A20" s="134"/>
      <c r="B20" s="2"/>
      <c r="C20" s="2"/>
      <c r="D20" s="3"/>
      <c r="E20" s="127"/>
      <c r="F20" s="129"/>
      <c r="G20" s="124"/>
      <c r="H20" s="128"/>
      <c r="I20" s="126"/>
      <c r="J20" s="2"/>
      <c r="K20" s="2"/>
      <c r="L20" s="125"/>
      <c r="M20" s="125"/>
    </row>
    <row r="21" spans="1:13" x14ac:dyDescent="0.2">
      <c r="A21" s="134"/>
      <c r="B21" s="2"/>
      <c r="C21" s="2"/>
      <c r="D21" s="3"/>
      <c r="E21" s="127"/>
      <c r="F21" s="129"/>
      <c r="G21" s="124"/>
      <c r="H21" s="128"/>
      <c r="I21" s="126"/>
      <c r="J21" s="2"/>
      <c r="K21" s="2"/>
      <c r="L21" s="125"/>
      <c r="M21" s="125"/>
    </row>
    <row r="22" spans="1:13" x14ac:dyDescent="0.2">
      <c r="A22" s="134"/>
      <c r="B22" s="2"/>
      <c r="C22" s="2"/>
      <c r="D22" s="3"/>
      <c r="E22" s="127"/>
      <c r="F22" s="129"/>
      <c r="G22" s="124"/>
      <c r="H22" s="128"/>
      <c r="I22" s="126"/>
      <c r="J22" s="2"/>
      <c r="K22" s="2"/>
      <c r="L22" s="125"/>
      <c r="M22" s="125"/>
    </row>
    <row r="23" spans="1:13" x14ac:dyDescent="0.2">
      <c r="A23" s="134"/>
      <c r="B23" s="2"/>
      <c r="C23" s="2"/>
      <c r="D23" s="3"/>
      <c r="E23" s="127"/>
      <c r="F23" s="129"/>
      <c r="G23" s="124"/>
      <c r="H23" s="128"/>
      <c r="I23" s="126"/>
      <c r="J23" s="2"/>
      <c r="K23" s="2"/>
      <c r="L23" s="125"/>
      <c r="M23" s="125"/>
    </row>
    <row r="24" spans="1:13" x14ac:dyDescent="0.2">
      <c r="A24" s="134"/>
      <c r="B24" s="2"/>
      <c r="C24" s="2"/>
      <c r="D24" s="3"/>
      <c r="E24" s="127"/>
      <c r="F24" s="129"/>
      <c r="G24" s="124"/>
      <c r="H24" s="128"/>
      <c r="I24" s="126"/>
      <c r="J24" s="2"/>
      <c r="K24" s="2"/>
      <c r="L24" s="125"/>
      <c r="M24" s="125"/>
    </row>
    <row r="25" spans="1:13" x14ac:dyDescent="0.2">
      <c r="A25" s="134"/>
      <c r="B25" s="2"/>
      <c r="C25" s="2"/>
      <c r="D25" s="3"/>
      <c r="E25" s="127"/>
      <c r="F25" s="129"/>
      <c r="G25" s="124"/>
      <c r="H25" s="128"/>
      <c r="I25" s="126"/>
      <c r="J25" s="2"/>
      <c r="K25" s="2"/>
      <c r="L25" s="125"/>
      <c r="M25" s="125"/>
    </row>
    <row r="26" spans="1:13" x14ac:dyDescent="0.2">
      <c r="A26" s="134"/>
      <c r="B26" s="2"/>
      <c r="C26" s="2"/>
      <c r="D26" s="3"/>
      <c r="E26" s="127"/>
      <c r="F26" s="129"/>
      <c r="G26" s="124"/>
      <c r="H26" s="128"/>
      <c r="I26" s="126"/>
      <c r="J26" s="2"/>
      <c r="K26" s="2"/>
      <c r="L26" s="125"/>
      <c r="M26" s="125"/>
    </row>
    <row r="27" spans="1:13" x14ac:dyDescent="0.2">
      <c r="A27" s="134"/>
      <c r="B27" s="2"/>
      <c r="C27" s="2"/>
      <c r="D27" s="3"/>
      <c r="E27" s="127"/>
      <c r="F27" s="129"/>
      <c r="G27" s="124"/>
      <c r="H27" s="128"/>
      <c r="I27" s="126"/>
      <c r="J27" s="2"/>
      <c r="K27" s="2"/>
      <c r="L27" s="125"/>
      <c r="M27" s="125"/>
    </row>
    <row r="28" spans="1:13" x14ac:dyDescent="0.2">
      <c r="A28" s="134"/>
      <c r="B28" s="2"/>
      <c r="C28" s="2"/>
      <c r="D28" s="3"/>
      <c r="E28" s="127"/>
      <c r="F28" s="129"/>
      <c r="G28" s="124"/>
      <c r="H28" s="128"/>
      <c r="I28" s="126"/>
      <c r="J28" s="2"/>
      <c r="K28" s="2"/>
      <c r="L28" s="125"/>
      <c r="M28" s="125"/>
    </row>
    <row r="29" spans="1:13" x14ac:dyDescent="0.2">
      <c r="A29" s="134"/>
      <c r="B29" s="2"/>
      <c r="C29" s="2"/>
      <c r="D29" s="3"/>
      <c r="E29" s="127"/>
      <c r="F29" s="129"/>
      <c r="G29" s="124"/>
      <c r="H29" s="128"/>
      <c r="I29" s="126"/>
      <c r="J29" s="2"/>
      <c r="K29" s="2"/>
      <c r="L29" s="125"/>
      <c r="M29" s="125"/>
    </row>
    <row r="30" spans="1:13" x14ac:dyDescent="0.2">
      <c r="A30" s="134"/>
      <c r="B30" s="2"/>
      <c r="C30" s="2"/>
      <c r="D30" s="3"/>
      <c r="E30" s="127"/>
      <c r="F30" s="129"/>
      <c r="G30" s="124"/>
      <c r="H30" s="128"/>
      <c r="I30" s="126"/>
      <c r="J30" s="2"/>
      <c r="K30" s="2"/>
      <c r="L30" s="125"/>
      <c r="M30" s="125"/>
    </row>
    <row r="31" spans="1:13" x14ac:dyDescent="0.2">
      <c r="A31" s="134"/>
      <c r="B31" s="2"/>
      <c r="C31" s="2"/>
      <c r="D31" s="3"/>
      <c r="E31" s="127"/>
      <c r="F31" s="129"/>
      <c r="G31" s="124"/>
      <c r="H31" s="128"/>
      <c r="I31" s="126"/>
      <c r="J31" s="2"/>
      <c r="K31" s="2"/>
      <c r="L31" s="125"/>
      <c r="M31" s="125"/>
    </row>
    <row r="32" spans="1:13" x14ac:dyDescent="0.2">
      <c r="A32" s="134"/>
      <c r="B32" s="2"/>
      <c r="C32" s="2"/>
      <c r="D32" s="3"/>
      <c r="E32" s="127"/>
      <c r="F32" s="129"/>
      <c r="G32" s="124"/>
      <c r="H32" s="128"/>
      <c r="I32" s="126"/>
      <c r="J32" s="2"/>
      <c r="K32" s="2"/>
      <c r="L32" s="125"/>
      <c r="M32" s="125"/>
    </row>
    <row r="33" spans="1:13" x14ac:dyDescent="0.2">
      <c r="A33" s="134"/>
      <c r="B33" s="2"/>
      <c r="C33" s="2"/>
      <c r="D33" s="3"/>
      <c r="E33" s="127"/>
      <c r="F33" s="129"/>
      <c r="G33" s="124"/>
      <c r="H33" s="128"/>
      <c r="I33" s="126"/>
      <c r="J33" s="2"/>
      <c r="K33" s="2"/>
      <c r="L33" s="125"/>
      <c r="M33" s="125"/>
    </row>
    <row r="34" spans="1:13" x14ac:dyDescent="0.2">
      <c r="A34" s="134"/>
      <c r="B34" s="2"/>
      <c r="C34" s="2"/>
      <c r="D34" s="3"/>
      <c r="E34" s="127"/>
      <c r="F34" s="129"/>
      <c r="G34" s="124"/>
      <c r="H34" s="128"/>
      <c r="I34" s="126"/>
      <c r="J34" s="2"/>
      <c r="K34" s="2"/>
      <c r="L34" s="125"/>
      <c r="M34" s="125"/>
    </row>
    <row r="35" spans="1:13" x14ac:dyDescent="0.2">
      <c r="A35" s="134"/>
      <c r="B35" s="2"/>
      <c r="C35" s="2"/>
      <c r="D35" s="3"/>
      <c r="E35" s="127"/>
      <c r="F35" s="129"/>
      <c r="G35" s="124"/>
      <c r="H35" s="128"/>
      <c r="I35" s="126"/>
      <c r="J35" s="2"/>
      <c r="K35" s="2"/>
      <c r="L35" s="125"/>
      <c r="M35" s="125"/>
    </row>
    <row r="36" spans="1:13" x14ac:dyDescent="0.2">
      <c r="A36" s="134"/>
      <c r="B36" s="2"/>
      <c r="C36" s="2"/>
      <c r="D36" s="3"/>
      <c r="E36" s="127"/>
      <c r="F36" s="129"/>
      <c r="G36" s="124"/>
      <c r="H36" s="128"/>
      <c r="I36" s="126"/>
      <c r="J36" s="2"/>
      <c r="K36" s="2"/>
      <c r="L36" s="125"/>
      <c r="M36" s="125"/>
    </row>
    <row r="37" spans="1:13" x14ac:dyDescent="0.2">
      <c r="A37" s="134"/>
      <c r="B37" s="2"/>
      <c r="C37" s="2"/>
      <c r="D37" s="3"/>
      <c r="E37" s="127"/>
      <c r="F37" s="129"/>
      <c r="G37" s="124"/>
      <c r="H37" s="128"/>
      <c r="I37" s="126"/>
      <c r="J37" s="2"/>
      <c r="K37" s="2"/>
      <c r="L37" s="125"/>
      <c r="M37" s="125"/>
    </row>
    <row r="38" spans="1:13" x14ac:dyDescent="0.2">
      <c r="A38" s="134"/>
      <c r="B38" s="2"/>
      <c r="C38" s="2"/>
      <c r="D38" s="3"/>
      <c r="E38" s="127"/>
      <c r="F38" s="129"/>
      <c r="G38" s="124"/>
      <c r="H38" s="128"/>
      <c r="I38" s="126"/>
      <c r="J38" s="2"/>
      <c r="K38" s="2"/>
      <c r="L38" s="125"/>
      <c r="M38" s="125"/>
    </row>
    <row r="39" spans="1:13" x14ac:dyDescent="0.2">
      <c r="A39" s="134"/>
      <c r="B39" s="2"/>
      <c r="C39" s="2"/>
      <c r="D39" s="3"/>
      <c r="E39" s="127"/>
      <c r="F39" s="129"/>
      <c r="G39" s="124"/>
      <c r="H39" s="128"/>
      <c r="I39" s="126"/>
      <c r="J39" s="2"/>
      <c r="K39" s="2"/>
      <c r="L39" s="125"/>
      <c r="M39" s="125"/>
    </row>
    <row r="40" spans="1:13" x14ac:dyDescent="0.2">
      <c r="A40" s="134"/>
      <c r="B40" s="2"/>
      <c r="C40" s="2"/>
      <c r="D40" s="3"/>
      <c r="E40" s="127"/>
      <c r="F40" s="129"/>
      <c r="G40" s="124"/>
      <c r="H40" s="128"/>
      <c r="I40" s="126"/>
      <c r="J40" s="2"/>
      <c r="K40" s="2"/>
      <c r="L40" s="125"/>
      <c r="M40" s="125"/>
    </row>
    <row r="41" spans="1:13" x14ac:dyDescent="0.2">
      <c r="A41" s="134"/>
      <c r="B41" s="2"/>
      <c r="C41" s="2"/>
      <c r="D41" s="3"/>
      <c r="E41" s="127"/>
      <c r="F41" s="129"/>
      <c r="G41" s="124"/>
      <c r="H41" s="128"/>
      <c r="I41" s="126"/>
      <c r="J41" s="2"/>
      <c r="K41" s="2"/>
      <c r="L41" s="125"/>
      <c r="M41" s="125"/>
    </row>
    <row r="42" spans="1:13" x14ac:dyDescent="0.2">
      <c r="A42" s="134"/>
      <c r="B42" s="2"/>
      <c r="C42" s="2"/>
      <c r="D42" s="3"/>
      <c r="E42" s="127"/>
      <c r="F42" s="129"/>
      <c r="G42" s="124"/>
      <c r="H42" s="128"/>
      <c r="I42" s="126"/>
      <c r="J42" s="2"/>
      <c r="K42" s="2"/>
      <c r="L42" s="125"/>
      <c r="M42" s="125"/>
    </row>
    <row r="43" spans="1:13" x14ac:dyDescent="0.2">
      <c r="A43" s="134"/>
      <c r="B43" s="2"/>
      <c r="C43" s="2"/>
      <c r="D43" s="3"/>
      <c r="E43" s="127"/>
      <c r="F43" s="129"/>
      <c r="G43" s="124"/>
      <c r="H43" s="128"/>
      <c r="I43" s="126"/>
      <c r="J43" s="2"/>
      <c r="K43" s="2"/>
      <c r="L43" s="125"/>
      <c r="M43" s="125"/>
    </row>
    <row r="44" spans="1:13" x14ac:dyDescent="0.2">
      <c r="A44" s="134"/>
      <c r="B44" s="2"/>
      <c r="C44" s="2"/>
      <c r="D44" s="3"/>
      <c r="E44" s="127"/>
      <c r="F44" s="129"/>
      <c r="G44" s="124"/>
      <c r="H44" s="128"/>
      <c r="I44" s="126"/>
      <c r="J44" s="2"/>
      <c r="K44" s="2"/>
      <c r="L44" s="125"/>
      <c r="M44" s="125"/>
    </row>
    <row r="45" spans="1:13" x14ac:dyDescent="0.2">
      <c r="A45" s="134"/>
      <c r="B45" s="2"/>
      <c r="C45" s="2"/>
      <c r="D45" s="3"/>
      <c r="E45" s="127"/>
      <c r="F45" s="129"/>
      <c r="G45" s="124"/>
      <c r="H45" s="128"/>
      <c r="I45" s="126"/>
      <c r="J45" s="2"/>
      <c r="K45" s="2"/>
      <c r="L45" s="125"/>
      <c r="M45" s="125"/>
    </row>
    <row r="46" spans="1:13" x14ac:dyDescent="0.2">
      <c r="A46" s="134"/>
      <c r="B46" s="2"/>
      <c r="C46" s="2"/>
      <c r="D46" s="3"/>
      <c r="E46" s="127"/>
      <c r="F46" s="129"/>
      <c r="G46" s="124"/>
      <c r="H46" s="128"/>
      <c r="I46" s="126"/>
      <c r="J46" s="2"/>
      <c r="K46" s="2"/>
      <c r="L46" s="125"/>
      <c r="M46" s="125"/>
    </row>
    <row r="47" spans="1:13" x14ac:dyDescent="0.2">
      <c r="A47" s="134"/>
      <c r="B47" s="2"/>
      <c r="C47" s="2"/>
      <c r="D47" s="3"/>
      <c r="E47" s="127"/>
      <c r="F47" s="129"/>
      <c r="G47" s="124"/>
      <c r="H47" s="128"/>
      <c r="I47" s="126"/>
      <c r="J47" s="2"/>
      <c r="K47" s="2"/>
      <c r="L47" s="125"/>
      <c r="M47" s="125"/>
    </row>
    <row r="48" spans="1:13" x14ac:dyDescent="0.2">
      <c r="A48" s="134"/>
      <c r="B48" s="2"/>
      <c r="C48" s="2"/>
      <c r="D48" s="3"/>
      <c r="E48" s="127"/>
      <c r="F48" s="129"/>
      <c r="G48" s="124"/>
      <c r="H48" s="128"/>
      <c r="I48" s="126"/>
      <c r="J48" s="2"/>
      <c r="K48" s="2"/>
      <c r="L48" s="125"/>
      <c r="M48" s="125"/>
    </row>
    <row r="49" spans="1:13" x14ac:dyDescent="0.2">
      <c r="A49" s="134"/>
      <c r="B49" s="2"/>
      <c r="C49" s="2"/>
      <c r="D49" s="3"/>
      <c r="E49" s="127"/>
      <c r="F49" s="129"/>
      <c r="G49" s="124"/>
      <c r="H49" s="128"/>
      <c r="I49" s="126"/>
      <c r="J49" s="2"/>
      <c r="K49" s="2"/>
      <c r="L49" s="125"/>
      <c r="M49" s="125"/>
    </row>
    <row r="50" spans="1:13" x14ac:dyDescent="0.2">
      <c r="A50" s="134"/>
      <c r="B50" s="2"/>
      <c r="C50" s="2"/>
      <c r="D50" s="3"/>
      <c r="E50" s="127"/>
      <c r="F50" s="129"/>
      <c r="G50" s="124"/>
      <c r="H50" s="128"/>
      <c r="I50" s="126"/>
      <c r="J50" s="2"/>
      <c r="K50" s="2"/>
      <c r="L50" s="125"/>
      <c r="M50" s="125"/>
    </row>
    <row r="51" spans="1:13" x14ac:dyDescent="0.2">
      <c r="A51" s="134"/>
      <c r="B51" s="2"/>
      <c r="C51" s="2"/>
      <c r="D51" s="3"/>
      <c r="E51" s="127"/>
      <c r="F51" s="129"/>
      <c r="G51" s="124"/>
      <c r="H51" s="128"/>
      <c r="I51" s="126"/>
      <c r="J51" s="2"/>
      <c r="K51" s="2"/>
      <c r="L51" s="125"/>
      <c r="M51" s="125"/>
    </row>
    <row r="52" spans="1:13" x14ac:dyDescent="0.2">
      <c r="A52" s="134"/>
      <c r="B52" s="2"/>
      <c r="C52" s="2"/>
      <c r="D52" s="3"/>
      <c r="E52" s="127"/>
      <c r="F52" s="129"/>
      <c r="G52" s="124"/>
      <c r="H52" s="128"/>
      <c r="I52" s="126"/>
      <c r="J52" s="2"/>
      <c r="K52" s="2"/>
      <c r="L52" s="125"/>
      <c r="M52" s="125"/>
    </row>
    <row r="53" spans="1:13" x14ac:dyDescent="0.2">
      <c r="A53" s="134"/>
      <c r="B53" s="2"/>
      <c r="C53" s="2"/>
      <c r="D53" s="3"/>
      <c r="E53" s="127"/>
      <c r="F53" s="129"/>
      <c r="G53" s="124"/>
      <c r="H53" s="128"/>
      <c r="I53" s="126"/>
      <c r="J53" s="2"/>
      <c r="K53" s="2"/>
      <c r="L53" s="125"/>
      <c r="M53" s="125"/>
    </row>
    <row r="54" spans="1:13" x14ac:dyDescent="0.2">
      <c r="A54" s="134"/>
      <c r="B54" s="2"/>
      <c r="C54" s="2"/>
      <c r="D54" s="3"/>
      <c r="E54" s="127"/>
      <c r="F54" s="129"/>
      <c r="G54" s="124"/>
      <c r="H54" s="128"/>
      <c r="I54" s="126"/>
      <c r="J54" s="2"/>
      <c r="K54" s="2"/>
      <c r="L54" s="125"/>
      <c r="M54" s="125"/>
    </row>
    <row r="55" spans="1:13" x14ac:dyDescent="0.2">
      <c r="A55" s="134"/>
      <c r="B55" s="2"/>
      <c r="C55" s="2"/>
      <c r="D55" s="3"/>
      <c r="E55" s="127"/>
      <c r="F55" s="129"/>
      <c r="G55" s="124"/>
      <c r="H55" s="128"/>
      <c r="I55" s="126"/>
      <c r="J55" s="2"/>
      <c r="K55" s="2"/>
      <c r="L55" s="125"/>
      <c r="M55" s="125"/>
    </row>
    <row r="56" spans="1:13" x14ac:dyDescent="0.2">
      <c r="A56" s="134"/>
      <c r="B56" s="2"/>
      <c r="C56" s="2"/>
      <c r="D56" s="3"/>
      <c r="E56" s="127"/>
      <c r="F56" s="129"/>
      <c r="G56" s="124"/>
      <c r="H56" s="128"/>
      <c r="I56" s="126"/>
      <c r="J56" s="2"/>
      <c r="K56" s="2"/>
      <c r="L56" s="125"/>
      <c r="M56" s="125"/>
    </row>
    <row r="57" spans="1:13" x14ac:dyDescent="0.2">
      <c r="A57" s="134"/>
      <c r="B57" s="2"/>
      <c r="C57" s="2"/>
      <c r="D57" s="3"/>
      <c r="E57" s="127"/>
      <c r="F57" s="129"/>
      <c r="G57" s="124"/>
      <c r="H57" s="128"/>
      <c r="I57" s="126"/>
      <c r="J57" s="2"/>
      <c r="K57" s="2"/>
      <c r="L57" s="125"/>
      <c r="M57" s="125"/>
    </row>
    <row r="58" spans="1:13" x14ac:dyDescent="0.2">
      <c r="A58" s="134"/>
      <c r="B58" s="2"/>
      <c r="C58" s="2"/>
      <c r="D58" s="3"/>
      <c r="E58" s="127"/>
      <c r="F58" s="129"/>
      <c r="G58" s="124"/>
      <c r="H58" s="128"/>
      <c r="I58" s="126"/>
      <c r="J58" s="2"/>
      <c r="K58" s="2"/>
      <c r="L58" s="125"/>
      <c r="M58" s="125"/>
    </row>
    <row r="59" spans="1:13" x14ac:dyDescent="0.2">
      <c r="A59" s="134"/>
      <c r="B59" s="2"/>
      <c r="C59" s="2"/>
      <c r="D59" s="3"/>
      <c r="E59" s="127"/>
      <c r="F59" s="129"/>
      <c r="G59" s="124"/>
      <c r="H59" s="128"/>
      <c r="I59" s="126"/>
      <c r="J59" s="2"/>
      <c r="K59" s="2"/>
      <c r="L59" s="125"/>
      <c r="M59" s="125"/>
    </row>
    <row r="60" spans="1:13" x14ac:dyDescent="0.2">
      <c r="A60" s="134"/>
      <c r="B60" s="2"/>
      <c r="C60" s="2"/>
      <c r="D60" s="3"/>
      <c r="E60" s="127"/>
      <c r="F60" s="129"/>
      <c r="G60" s="124"/>
      <c r="H60" s="128"/>
      <c r="I60" s="126"/>
      <c r="J60" s="2"/>
      <c r="K60" s="2"/>
      <c r="L60" s="125"/>
      <c r="M60" s="125"/>
    </row>
    <row r="61" spans="1:13" x14ac:dyDescent="0.2">
      <c r="A61" s="134"/>
      <c r="B61" s="2"/>
      <c r="C61" s="2"/>
      <c r="D61" s="3"/>
      <c r="E61" s="127"/>
      <c r="F61" s="129"/>
      <c r="G61" s="124"/>
      <c r="H61" s="128"/>
      <c r="I61" s="126"/>
      <c r="J61" s="2"/>
      <c r="K61" s="2"/>
      <c r="L61" s="125"/>
      <c r="M61" s="125"/>
    </row>
    <row r="62" spans="1:13" x14ac:dyDescent="0.2">
      <c r="A62" s="134"/>
      <c r="B62" s="2"/>
      <c r="C62" s="2"/>
      <c r="D62" s="3"/>
      <c r="E62" s="127"/>
      <c r="F62" s="129"/>
      <c r="G62" s="124"/>
      <c r="H62" s="128"/>
      <c r="I62" s="126"/>
      <c r="J62" s="2"/>
      <c r="K62" s="2"/>
      <c r="L62" s="125"/>
      <c r="M62" s="125"/>
    </row>
    <row r="63" spans="1:13" x14ac:dyDescent="0.2">
      <c r="A63" s="134"/>
      <c r="B63" s="2"/>
      <c r="C63" s="2"/>
      <c r="D63" s="3"/>
      <c r="E63" s="127"/>
      <c r="F63" s="129"/>
      <c r="G63" s="124"/>
      <c r="H63" s="128"/>
      <c r="I63" s="126"/>
      <c r="J63" s="2"/>
      <c r="K63" s="2"/>
      <c r="L63" s="125"/>
      <c r="M63" s="125"/>
    </row>
    <row r="64" spans="1:13" x14ac:dyDescent="0.2">
      <c r="A64" s="134"/>
      <c r="B64" s="2"/>
      <c r="C64" s="2"/>
      <c r="D64" s="3"/>
      <c r="E64" s="127"/>
      <c r="F64" s="129"/>
      <c r="G64" s="124"/>
      <c r="H64" s="128"/>
      <c r="I64" s="126"/>
      <c r="J64" s="2"/>
      <c r="K64" s="2"/>
      <c r="L64" s="125"/>
      <c r="M64" s="125"/>
    </row>
    <row r="65" spans="1:13" x14ac:dyDescent="0.2">
      <c r="A65" s="134"/>
      <c r="B65" s="2"/>
      <c r="C65" s="2"/>
      <c r="D65" s="3"/>
      <c r="E65" s="127"/>
      <c r="F65" s="129"/>
      <c r="G65" s="124"/>
      <c r="H65" s="128"/>
      <c r="I65" s="126"/>
      <c r="J65" s="2"/>
      <c r="K65" s="2"/>
      <c r="L65" s="125"/>
      <c r="M65" s="125"/>
    </row>
    <row r="66" spans="1:13" ht="12.75" customHeight="1" x14ac:dyDescent="0.2">
      <c r="A66" s="134"/>
      <c r="B66" s="2"/>
      <c r="C66" s="2"/>
      <c r="D66" s="130"/>
      <c r="E66" s="131"/>
      <c r="F66" s="132"/>
      <c r="G66" s="124"/>
      <c r="H66" s="128"/>
      <c r="I66" s="126"/>
      <c r="J66" s="2"/>
      <c r="K66" s="2"/>
      <c r="L66" s="125"/>
      <c r="M66" s="125"/>
    </row>
    <row r="67" spans="1:13" x14ac:dyDescent="0.2">
      <c r="A67" s="138" t="s">
        <v>87</v>
      </c>
      <c r="B67" s="139"/>
      <c r="C67" s="139"/>
      <c r="D67" s="139"/>
      <c r="E67" s="139"/>
      <c r="F67" s="139"/>
      <c r="G67" s="139">
        <f>SUBTOTAL(109,G2:G66)</f>
        <v>0</v>
      </c>
      <c r="H67" s="139"/>
      <c r="I67" s="139"/>
      <c r="J67" s="139"/>
      <c r="K67" s="139"/>
      <c r="L67" s="139"/>
      <c r="M67" s="140"/>
    </row>
    <row r="68" spans="1:13" x14ac:dyDescent="0.2">
      <c r="A68" s="5"/>
      <c r="B68" s="5"/>
      <c r="C68" s="5"/>
      <c r="D68" s="5"/>
      <c r="E68" s="5"/>
      <c r="F68" s="5"/>
      <c r="H68" s="5"/>
      <c r="I68" s="5"/>
    </row>
    <row r="69" spans="1:13" x14ac:dyDescent="0.2">
      <c r="A69" s="5"/>
      <c r="B69" s="5"/>
      <c r="C69" s="5"/>
      <c r="D69" s="5"/>
      <c r="E69" s="5"/>
      <c r="F69" s="5"/>
      <c r="H69" s="5"/>
      <c r="I69" s="5"/>
    </row>
  </sheetData>
  <phoneticPr fontId="1" type="noConversion"/>
  <conditionalFormatting sqref="A8:E31 A33:E66 G2:H66">
    <cfRule type="expression" dxfId="88" priority="73" stopIfTrue="1">
      <formula>MOD(ROW(),2)</formula>
    </cfRule>
  </conditionalFormatting>
  <conditionalFormatting sqref="A32:E32">
    <cfRule type="expression" dxfId="87" priority="55" stopIfTrue="1">
      <formula>MOD(ROW(),2)</formula>
    </cfRule>
  </conditionalFormatting>
  <conditionalFormatting sqref="A7:E7">
    <cfRule type="expression" dxfId="86" priority="54" stopIfTrue="1">
      <formula>MOD(ROW(),2)</formula>
    </cfRule>
  </conditionalFormatting>
  <conditionalFormatting sqref="M8:M31 M33:M66">
    <cfRule type="expression" dxfId="85" priority="50" stopIfTrue="1">
      <formula>MOD(ROW(),2)</formula>
    </cfRule>
  </conditionalFormatting>
  <conditionalFormatting sqref="M32">
    <cfRule type="expression" dxfId="84" priority="49" stopIfTrue="1">
      <formula>MOD(ROW(),2)</formula>
    </cfRule>
  </conditionalFormatting>
  <conditionalFormatting sqref="M7">
    <cfRule type="expression" dxfId="83" priority="48" stopIfTrue="1">
      <formula>MOD(ROW(),2)</formula>
    </cfRule>
  </conditionalFormatting>
  <conditionalFormatting sqref="A5:E5">
    <cfRule type="expression" dxfId="82" priority="47" stopIfTrue="1">
      <formula>MOD(ROW(),2)</formula>
    </cfRule>
  </conditionalFormatting>
  <conditionalFormatting sqref="M5">
    <cfRule type="expression" dxfId="81" priority="45" stopIfTrue="1">
      <formula>MOD(ROW(),2)</formula>
    </cfRule>
  </conditionalFormatting>
  <conditionalFormatting sqref="A3:E3">
    <cfRule type="expression" dxfId="80" priority="44" stopIfTrue="1">
      <formula>MOD(ROW(),2)</formula>
    </cfRule>
  </conditionalFormatting>
  <conditionalFormatting sqref="M3">
    <cfRule type="expression" dxfId="79" priority="42" stopIfTrue="1">
      <formula>MOD(ROW(),2)</formula>
    </cfRule>
  </conditionalFormatting>
  <conditionalFormatting sqref="J8:J31 J33:J66">
    <cfRule type="expression" dxfId="78" priority="41" stopIfTrue="1">
      <formula>MOD(ROW(),2)</formula>
    </cfRule>
  </conditionalFormatting>
  <conditionalFormatting sqref="J32">
    <cfRule type="expression" dxfId="77" priority="40" stopIfTrue="1">
      <formula>MOD(ROW(),2)</formula>
    </cfRule>
  </conditionalFormatting>
  <conditionalFormatting sqref="J7">
    <cfRule type="expression" dxfId="76" priority="39" stopIfTrue="1">
      <formula>MOD(ROW(),2)</formula>
    </cfRule>
  </conditionalFormatting>
  <conditionalFormatting sqref="J5">
    <cfRule type="expression" dxfId="75" priority="38" stopIfTrue="1">
      <formula>MOD(ROW(),2)</formula>
    </cfRule>
  </conditionalFormatting>
  <conditionalFormatting sqref="J3">
    <cfRule type="expression" dxfId="74" priority="37" stopIfTrue="1">
      <formula>MOD(ROW(),2)</formula>
    </cfRule>
  </conditionalFormatting>
  <conditionalFormatting sqref="K8:K31 K33:K66">
    <cfRule type="expression" dxfId="73" priority="36" stopIfTrue="1">
      <formula>MOD(ROW(),2)</formula>
    </cfRule>
  </conditionalFormatting>
  <conditionalFormatting sqref="K32">
    <cfRule type="expression" dxfId="72" priority="35" stopIfTrue="1">
      <formula>MOD(ROW(),2)</formula>
    </cfRule>
  </conditionalFormatting>
  <conditionalFormatting sqref="K7">
    <cfRule type="expression" dxfId="71" priority="34" stopIfTrue="1">
      <formula>MOD(ROW(),2)</formula>
    </cfRule>
  </conditionalFormatting>
  <conditionalFormatting sqref="K5">
    <cfRule type="expression" dxfId="70" priority="33" stopIfTrue="1">
      <formula>MOD(ROW(),2)</formula>
    </cfRule>
  </conditionalFormatting>
  <conditionalFormatting sqref="K3">
    <cfRule type="expression" dxfId="69" priority="32" stopIfTrue="1">
      <formula>MOD(ROW(),2)</formula>
    </cfRule>
  </conditionalFormatting>
  <conditionalFormatting sqref="L8:L31 L33:L66">
    <cfRule type="expression" dxfId="68" priority="31" stopIfTrue="1">
      <formula>MOD(ROW(),2)</formula>
    </cfRule>
  </conditionalFormatting>
  <conditionalFormatting sqref="L32">
    <cfRule type="expression" dxfId="67" priority="30" stopIfTrue="1">
      <formula>MOD(ROW(),2)</formula>
    </cfRule>
  </conditionalFormatting>
  <conditionalFormatting sqref="L7">
    <cfRule type="expression" dxfId="66" priority="29" stopIfTrue="1">
      <formula>MOD(ROW(),2)</formula>
    </cfRule>
  </conditionalFormatting>
  <conditionalFormatting sqref="L5">
    <cfRule type="expression" dxfId="65" priority="28" stopIfTrue="1">
      <formula>MOD(ROW(),2)</formula>
    </cfRule>
  </conditionalFormatting>
  <conditionalFormatting sqref="L3">
    <cfRule type="expression" dxfId="64" priority="27" stopIfTrue="1">
      <formula>MOD(ROW(),2)</formula>
    </cfRule>
  </conditionalFormatting>
  <conditionalFormatting sqref="I8:I31 I33:I66">
    <cfRule type="expression" dxfId="63" priority="26" stopIfTrue="1">
      <formula>MOD(ROW(),2)</formula>
    </cfRule>
  </conditionalFormatting>
  <conditionalFormatting sqref="I32">
    <cfRule type="expression" dxfId="62" priority="25" stopIfTrue="1">
      <formula>MOD(ROW(),2)</formula>
    </cfRule>
  </conditionalFormatting>
  <conditionalFormatting sqref="I7">
    <cfRule type="expression" dxfId="61" priority="24" stopIfTrue="1">
      <formula>MOD(ROW(),2)</formula>
    </cfRule>
  </conditionalFormatting>
  <conditionalFormatting sqref="I5">
    <cfRule type="expression" dxfId="60" priority="23" stopIfTrue="1">
      <formula>MOD(ROW(),2)</formula>
    </cfRule>
  </conditionalFormatting>
  <conditionalFormatting sqref="I3">
    <cfRule type="expression" dxfId="59" priority="22" stopIfTrue="1">
      <formula>MOD(ROW(),2)</formula>
    </cfRule>
  </conditionalFormatting>
  <conditionalFormatting sqref="A4:E4">
    <cfRule type="expression" dxfId="58" priority="21" stopIfTrue="1">
      <formula>MOD(ROW(),2)</formula>
    </cfRule>
  </conditionalFormatting>
  <conditionalFormatting sqref="M4">
    <cfRule type="expression" dxfId="57" priority="20" stopIfTrue="1">
      <formula>MOD(ROW(),2)</formula>
    </cfRule>
  </conditionalFormatting>
  <conditionalFormatting sqref="J4">
    <cfRule type="expression" dxfId="56" priority="18" stopIfTrue="1">
      <formula>MOD(ROW(),2)</formula>
    </cfRule>
  </conditionalFormatting>
  <conditionalFormatting sqref="K4">
    <cfRule type="expression" dxfId="55" priority="17" stopIfTrue="1">
      <formula>MOD(ROW(),2)</formula>
    </cfRule>
  </conditionalFormatting>
  <conditionalFormatting sqref="L4">
    <cfRule type="expression" dxfId="54" priority="16" stopIfTrue="1">
      <formula>MOD(ROW(),2)</formula>
    </cfRule>
  </conditionalFormatting>
  <conditionalFormatting sqref="I4">
    <cfRule type="expression" dxfId="53" priority="15" stopIfTrue="1">
      <formula>MOD(ROW(),2)</formula>
    </cfRule>
  </conditionalFormatting>
  <conditionalFormatting sqref="A2:E2">
    <cfRule type="expression" dxfId="52" priority="14" stopIfTrue="1">
      <formula>MOD(ROW(),2)</formula>
    </cfRule>
  </conditionalFormatting>
  <conditionalFormatting sqref="M2">
    <cfRule type="expression" dxfId="51" priority="12" stopIfTrue="1">
      <formula>MOD(ROW(),2)</formula>
    </cfRule>
  </conditionalFormatting>
  <conditionalFormatting sqref="J2">
    <cfRule type="expression" dxfId="50" priority="11" stopIfTrue="1">
      <formula>MOD(ROW(),2)</formula>
    </cfRule>
  </conditionalFormatting>
  <conditionalFormatting sqref="K2">
    <cfRule type="expression" dxfId="49" priority="10" stopIfTrue="1">
      <formula>MOD(ROW(),2)</formula>
    </cfRule>
  </conditionalFormatting>
  <conditionalFormatting sqref="L2">
    <cfRule type="expression" dxfId="48" priority="9" stopIfTrue="1">
      <formula>MOD(ROW(),2)</formula>
    </cfRule>
  </conditionalFormatting>
  <conditionalFormatting sqref="I2">
    <cfRule type="expression" dxfId="47" priority="8" stopIfTrue="1">
      <formula>MOD(ROW(),2)</formula>
    </cfRule>
  </conditionalFormatting>
  <conditionalFormatting sqref="A6:E6">
    <cfRule type="expression" dxfId="46" priority="7" stopIfTrue="1">
      <formula>MOD(ROW(),2)</formula>
    </cfRule>
  </conditionalFormatting>
  <conditionalFormatting sqref="M6">
    <cfRule type="expression" dxfId="45" priority="5" stopIfTrue="1">
      <formula>MOD(ROW(),2)</formula>
    </cfRule>
  </conditionalFormatting>
  <conditionalFormatting sqref="J6">
    <cfRule type="expression" dxfId="44" priority="4" stopIfTrue="1">
      <formula>MOD(ROW(),2)</formula>
    </cfRule>
  </conditionalFormatting>
  <conditionalFormatting sqref="K6">
    <cfRule type="expression" dxfId="43" priority="3" stopIfTrue="1">
      <formula>MOD(ROW(),2)</formula>
    </cfRule>
  </conditionalFormatting>
  <conditionalFormatting sqref="L6">
    <cfRule type="expression" dxfId="42" priority="2" stopIfTrue="1">
      <formula>MOD(ROW(),2)</formula>
    </cfRule>
  </conditionalFormatting>
  <conditionalFormatting sqref="I6">
    <cfRule type="expression" dxfId="41" priority="1" stopIfTrue="1">
      <formula>MOD(ROW(),2)</formula>
    </cfRule>
  </conditionalFormatting>
  <dataValidations count="4">
    <dataValidation type="list" allowBlank="1" showInputMessage="1" showErrorMessage="1" sqref="F2:F66">
      <formula1>Members</formula1>
    </dataValidation>
    <dataValidation type="list" allowBlank="1" showInputMessage="1" showErrorMessage="1" sqref="A2:A66">
      <formula1>Worktype</formula1>
    </dataValidation>
    <dataValidation type="list" allowBlank="1" showInputMessage="1" showErrorMessage="1" sqref="B2:B66">
      <formula1>Deliverable</formula1>
    </dataValidation>
    <dataValidation type="list" allowBlank="1" showInputMessage="1" showErrorMessage="1" sqref="M2:M66">
      <formula1>Status</formula1>
    </dataValidation>
  </dataValidations>
  <pageMargins left="0.75" right="0.75" top="1" bottom="1" header="0.5" footer="0.5"/>
  <pageSetup orientation="portrait" r:id="rId1"/>
  <headerFooter alignWithMargins="0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L45"/>
  <sheetViews>
    <sheetView zoomScaleNormal="75" workbookViewId="0">
      <pane xSplit="7" ySplit="6" topLeftCell="H7" activePane="bottomRight" state="frozen"/>
      <selection activeCell="B20" sqref="B20"/>
      <selection pane="topRight" activeCell="B20" sqref="B20"/>
      <selection pane="bottomLeft" activeCell="B20" sqref="B20"/>
      <selection pane="bottomRight" activeCell="E34" sqref="E34"/>
    </sheetView>
  </sheetViews>
  <sheetFormatPr defaultRowHeight="12.75" x14ac:dyDescent="0.2"/>
  <cols>
    <col min="1" max="1" width="2.28515625" style="6" customWidth="1"/>
    <col min="2" max="2" width="23.42578125" style="7" customWidth="1"/>
    <col min="3" max="4" width="6.5703125" style="7" bestFit="1" customWidth="1"/>
    <col min="5" max="5" width="24.5703125" style="6" customWidth="1"/>
    <col min="6" max="6" width="13.7109375" style="6" customWidth="1"/>
    <col min="7" max="7" width="12.7109375" style="6" bestFit="1" customWidth="1"/>
    <col min="8" max="8" width="1.85546875" style="6" customWidth="1"/>
    <col min="9" max="9" width="6.85546875" style="6" bestFit="1" customWidth="1"/>
    <col min="10" max="10" width="3.140625" style="6" customWidth="1"/>
    <col min="11" max="15" width="3.7109375" style="6" customWidth="1"/>
    <col min="16" max="16" width="6.85546875" style="6" bestFit="1" customWidth="1"/>
    <col min="17" max="22" width="3.7109375" style="6" customWidth="1"/>
    <col min="23" max="23" width="4" style="6" customWidth="1"/>
    <col min="24" max="28" width="3" style="6" customWidth="1"/>
    <col min="29" max="38" width="9.140625" style="6"/>
    <col min="39" max="16384" width="9.140625" style="1"/>
  </cols>
  <sheetData>
    <row r="1" spans="2:28" ht="13.5" thickBot="1" x14ac:dyDescent="0.25"/>
    <row r="2" spans="2:28" x14ac:dyDescent="0.2">
      <c r="B2" s="8" t="s">
        <v>12</v>
      </c>
      <c r="C2" s="9"/>
      <c r="D2" s="10" t="str">
        <f>TEXT(E2,"ddd")</f>
        <v>Sat</v>
      </c>
      <c r="E2" s="11">
        <v>42651</v>
      </c>
    </row>
    <row r="3" spans="2:28" ht="13.5" thickBot="1" x14ac:dyDescent="0.25">
      <c r="B3" s="12" t="s">
        <v>11</v>
      </c>
      <c r="C3" s="13"/>
      <c r="D3" s="14" t="str">
        <f>TEXT(E3,"ddd")</f>
        <v>Tue</v>
      </c>
      <c r="E3" s="15">
        <v>42654</v>
      </c>
    </row>
    <row r="4" spans="2:28" ht="13.5" thickBot="1" x14ac:dyDescent="0.25">
      <c r="D4" s="6"/>
      <c r="E4" s="16"/>
      <c r="I4" s="17"/>
      <c r="J4" s="17"/>
      <c r="K4" s="17"/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</row>
    <row r="5" spans="2:28" ht="15.75" thickBot="1" x14ac:dyDescent="0.25">
      <c r="B5" s="144" t="s">
        <v>15</v>
      </c>
      <c r="C5" s="145"/>
      <c r="D5" s="145"/>
      <c r="E5" s="145"/>
      <c r="F5" s="145"/>
      <c r="G5" s="146"/>
      <c r="I5" s="18"/>
      <c r="J5" s="19"/>
      <c r="K5" s="19"/>
      <c r="L5" s="19"/>
      <c r="M5" s="19"/>
      <c r="N5" s="19"/>
      <c r="O5" s="19"/>
      <c r="P5" s="19"/>
      <c r="Q5" s="19"/>
      <c r="R5" s="19"/>
      <c r="S5" s="19"/>
      <c r="T5" s="19"/>
      <c r="U5" s="19"/>
      <c r="V5" s="19"/>
      <c r="W5" s="21"/>
      <c r="X5" s="20"/>
      <c r="Y5" s="20"/>
      <c r="Z5" s="20"/>
      <c r="AA5" s="20"/>
      <c r="AB5" s="22"/>
    </row>
    <row r="6" spans="2:28" ht="13.5" thickBot="1" x14ac:dyDescent="0.25">
      <c r="B6" s="23" t="s">
        <v>21</v>
      </c>
      <c r="C6" s="24">
        <v>6</v>
      </c>
      <c r="D6" s="25"/>
      <c r="E6" s="26" t="s">
        <v>22</v>
      </c>
      <c r="F6" s="27">
        <v>14</v>
      </c>
      <c r="G6" s="28"/>
      <c r="I6" s="29">
        <f>IF(D3="Mon",E3-0,IF(D3="Tue",E3-1,IF(D3="Wed",E3-2,IF(D3="Thu",E3-3,IF(D3="Fri",E3-4,IF(D3="Sat",E3-5,IF(D3="Sun",E3-6,"False")))))))</f>
        <v>42653</v>
      </c>
      <c r="J6" s="30">
        <f t="shared" ref="J6:O6" si="0">I6+1</f>
        <v>42654</v>
      </c>
      <c r="K6" s="30">
        <f t="shared" si="0"/>
        <v>42655</v>
      </c>
      <c r="L6" s="30">
        <f t="shared" si="0"/>
        <v>42656</v>
      </c>
      <c r="M6" s="30">
        <f t="shared" si="0"/>
        <v>42657</v>
      </c>
      <c r="N6" s="31">
        <f t="shared" si="0"/>
        <v>42658</v>
      </c>
      <c r="O6" s="31">
        <f t="shared" si="0"/>
        <v>42659</v>
      </c>
      <c r="P6" s="32">
        <f>I6+7</f>
        <v>42660</v>
      </c>
      <c r="Q6" s="30">
        <f t="shared" ref="Q6:V6" si="1">P6+1</f>
        <v>42661</v>
      </c>
      <c r="R6" s="30">
        <f t="shared" si="1"/>
        <v>42662</v>
      </c>
      <c r="S6" s="30">
        <f t="shared" si="1"/>
        <v>42663</v>
      </c>
      <c r="T6" s="30">
        <f t="shared" si="1"/>
        <v>42664</v>
      </c>
      <c r="U6" s="31">
        <f t="shared" si="1"/>
        <v>42665</v>
      </c>
      <c r="V6" s="31">
        <f t="shared" si="1"/>
        <v>42666</v>
      </c>
      <c r="W6" s="147"/>
      <c r="X6" s="148"/>
      <c r="Y6" s="148"/>
      <c r="Z6" s="148"/>
      <c r="AA6" s="148"/>
      <c r="AB6" s="149"/>
    </row>
    <row r="7" spans="2:28" ht="29.25" customHeight="1" thickBot="1" x14ac:dyDescent="0.25">
      <c r="B7" s="33"/>
      <c r="C7" s="34"/>
      <c r="D7" s="25"/>
      <c r="E7" s="35" t="s">
        <v>13</v>
      </c>
      <c r="F7" s="35" t="s">
        <v>81</v>
      </c>
      <c r="G7" s="36" t="s">
        <v>14</v>
      </c>
      <c r="I7" s="37" t="s">
        <v>0</v>
      </c>
      <c r="J7" s="38" t="s">
        <v>2</v>
      </c>
      <c r="K7" s="38" t="s">
        <v>3</v>
      </c>
      <c r="L7" s="38" t="s">
        <v>2</v>
      </c>
      <c r="M7" s="38" t="s">
        <v>4</v>
      </c>
      <c r="N7" s="39" t="s">
        <v>1</v>
      </c>
      <c r="O7" s="40" t="s">
        <v>1</v>
      </c>
      <c r="P7" s="37" t="s">
        <v>0</v>
      </c>
      <c r="Q7" s="38" t="s">
        <v>2</v>
      </c>
      <c r="R7" s="38" t="s">
        <v>3</v>
      </c>
      <c r="S7" s="38" t="s">
        <v>2</v>
      </c>
      <c r="T7" s="38" t="s">
        <v>4</v>
      </c>
      <c r="U7" s="39" t="s">
        <v>1</v>
      </c>
      <c r="V7" s="40" t="s">
        <v>1</v>
      </c>
      <c r="W7" s="150" t="s">
        <v>10</v>
      </c>
      <c r="X7" s="151"/>
      <c r="Y7" s="151"/>
      <c r="Z7" s="151"/>
      <c r="AA7" s="151"/>
      <c r="AB7" s="152"/>
    </row>
    <row r="8" spans="2:28" ht="13.5" thickBot="1" x14ac:dyDescent="0.25">
      <c r="B8" s="41" t="s">
        <v>5</v>
      </c>
      <c r="C8" s="42">
        <f>SUM(G8:G25)</f>
        <v>0</v>
      </c>
      <c r="D8" s="43"/>
      <c r="E8" s="44" t="s">
        <v>42</v>
      </c>
      <c r="F8" s="45">
        <v>1</v>
      </c>
      <c r="G8" s="119">
        <f>SUMIF(Backlog[Dev],E8,Backlog[Coding Hours])</f>
        <v>0</v>
      </c>
      <c r="H8" s="46"/>
      <c r="I8" s="51">
        <f>IF(I$6&lt;$E$3,0,IF(ISBLANK($E8),0,IF(I$6&lt;$E$2,0,1)))</f>
        <v>0</v>
      </c>
      <c r="J8" s="52">
        <f t="shared" ref="I8:J18" si="2">IF(J$6&lt;$E$3,0,IF(ISBLANK($E8),0,IF(J$6&lt;$E$2,0,1)))</f>
        <v>1</v>
      </c>
      <c r="K8" s="52">
        <f t="shared" ref="K8:M23" si="3">IF(K$6&lt;$E$3,0,IF(ISBLANK($E8),0,IF(K$6&lt;$E$2,0,1)))</f>
        <v>1</v>
      </c>
      <c r="L8" s="52">
        <f t="shared" si="3"/>
        <v>1</v>
      </c>
      <c r="M8" s="52">
        <f t="shared" si="3"/>
        <v>1</v>
      </c>
      <c r="N8" s="47"/>
      <c r="O8" s="48"/>
      <c r="P8" s="51">
        <f t="shared" ref="P8:T18" si="4">IF(P$6&lt;$E$3,0,IF(ISBLANK($E8),0,IF(P$6&lt;$E$2,0,1)))</f>
        <v>1</v>
      </c>
      <c r="Q8" s="52">
        <f t="shared" si="4"/>
        <v>1</v>
      </c>
      <c r="R8" s="52">
        <f t="shared" si="4"/>
        <v>1</v>
      </c>
      <c r="S8" s="52">
        <f t="shared" si="4"/>
        <v>1</v>
      </c>
      <c r="T8" s="52">
        <f t="shared" si="4"/>
        <v>1</v>
      </c>
      <c r="U8" s="47"/>
      <c r="V8" s="48"/>
      <c r="W8" s="141">
        <f>IF(E8="unassigned",0,(COUNTIF(I8:V8,1)*$C$6)*F8-G8)</f>
        <v>54</v>
      </c>
      <c r="X8" s="142"/>
      <c r="Y8" s="142"/>
      <c r="Z8" s="142"/>
      <c r="AA8" s="142"/>
      <c r="AB8" s="143"/>
    </row>
    <row r="9" spans="2:28" ht="13.5" thickBot="1" x14ac:dyDescent="0.25">
      <c r="B9" s="49" t="s">
        <v>6</v>
      </c>
      <c r="C9" s="42">
        <f>SUM(W8:AB25)</f>
        <v>718.2</v>
      </c>
      <c r="D9" s="50"/>
      <c r="E9" s="4" t="s">
        <v>44</v>
      </c>
      <c r="F9" s="45">
        <v>1</v>
      </c>
      <c r="G9" s="119">
        <f>SUMIF(Backlog[Dev],E9,Backlog[Coding Hours])</f>
        <v>0</v>
      </c>
      <c r="H9" s="46"/>
      <c r="I9" s="51">
        <f t="shared" si="2"/>
        <v>0</v>
      </c>
      <c r="J9" s="52">
        <f t="shared" si="2"/>
        <v>1</v>
      </c>
      <c r="K9" s="52">
        <f t="shared" si="3"/>
        <v>1</v>
      </c>
      <c r="L9" s="52">
        <f t="shared" si="3"/>
        <v>1</v>
      </c>
      <c r="M9" s="52">
        <f t="shared" si="3"/>
        <v>1</v>
      </c>
      <c r="N9" s="53"/>
      <c r="O9" s="54"/>
      <c r="P9" s="51">
        <f t="shared" si="4"/>
        <v>1</v>
      </c>
      <c r="Q9" s="52">
        <f t="shared" si="4"/>
        <v>1</v>
      </c>
      <c r="R9" s="52">
        <f t="shared" si="4"/>
        <v>1</v>
      </c>
      <c r="S9" s="52">
        <f t="shared" si="4"/>
        <v>1</v>
      </c>
      <c r="T9" s="52">
        <f t="shared" si="4"/>
        <v>1</v>
      </c>
      <c r="U9" s="53"/>
      <c r="V9" s="54"/>
      <c r="W9" s="141">
        <f t="shared" ref="W9:W25" si="5">IF(E9="unassigned",0,(COUNTIF(I9:V9,1)*$C$6)*F9-G9)</f>
        <v>54</v>
      </c>
      <c r="X9" s="142"/>
      <c r="Y9" s="142"/>
      <c r="Z9" s="142"/>
      <c r="AA9" s="142"/>
      <c r="AB9" s="143"/>
    </row>
    <row r="10" spans="2:28" ht="13.5" thickBot="1" x14ac:dyDescent="0.25">
      <c r="B10" s="55" t="s">
        <v>7</v>
      </c>
      <c r="C10" s="56">
        <f>C8-C9</f>
        <v>-718.2</v>
      </c>
      <c r="D10" s="25"/>
      <c r="E10" s="4" t="s">
        <v>46</v>
      </c>
      <c r="F10" s="45">
        <v>0.5</v>
      </c>
      <c r="G10" s="119">
        <f>SUMIF(Backlog[Dev],E10,Backlog[Coding Hours])</f>
        <v>0</v>
      </c>
      <c r="H10" s="46"/>
      <c r="I10" s="51">
        <f t="shared" si="2"/>
        <v>0</v>
      </c>
      <c r="J10" s="52">
        <f t="shared" si="2"/>
        <v>1</v>
      </c>
      <c r="K10" s="52">
        <f t="shared" si="3"/>
        <v>1</v>
      </c>
      <c r="L10" s="52">
        <f t="shared" si="3"/>
        <v>1</v>
      </c>
      <c r="M10" s="52">
        <f t="shared" si="3"/>
        <v>1</v>
      </c>
      <c r="N10" s="53"/>
      <c r="O10" s="54"/>
      <c r="P10" s="51">
        <f t="shared" si="4"/>
        <v>1</v>
      </c>
      <c r="Q10" s="52">
        <f t="shared" si="4"/>
        <v>1</v>
      </c>
      <c r="R10" s="52">
        <f t="shared" si="4"/>
        <v>1</v>
      </c>
      <c r="S10" s="52">
        <f t="shared" si="4"/>
        <v>1</v>
      </c>
      <c r="T10" s="52">
        <f t="shared" si="4"/>
        <v>1</v>
      </c>
      <c r="U10" s="53"/>
      <c r="V10" s="54"/>
      <c r="W10" s="141">
        <f t="shared" si="5"/>
        <v>27</v>
      </c>
      <c r="X10" s="142"/>
      <c r="Y10" s="142"/>
      <c r="Z10" s="142"/>
      <c r="AA10" s="142"/>
      <c r="AB10" s="143"/>
    </row>
    <row r="11" spans="2:28" ht="13.5" thickBot="1" x14ac:dyDescent="0.25">
      <c r="B11" s="57"/>
      <c r="D11" s="58"/>
      <c r="E11" s="4" t="s">
        <v>48</v>
      </c>
      <c r="F11" s="45">
        <v>1</v>
      </c>
      <c r="G11" s="119">
        <f>SUMIF(Backlog[Dev],E11,Backlog[Coding Hours])</f>
        <v>0</v>
      </c>
      <c r="H11" s="46"/>
      <c r="I11" s="51">
        <f t="shared" si="2"/>
        <v>0</v>
      </c>
      <c r="J11" s="52">
        <f t="shared" si="2"/>
        <v>1</v>
      </c>
      <c r="K11" s="52">
        <f t="shared" si="3"/>
        <v>1</v>
      </c>
      <c r="L11" s="52">
        <f t="shared" si="3"/>
        <v>1</v>
      </c>
      <c r="M11" s="52">
        <f t="shared" si="3"/>
        <v>1</v>
      </c>
      <c r="N11" s="53"/>
      <c r="O11" s="54"/>
      <c r="P11" s="51">
        <f t="shared" si="4"/>
        <v>1</v>
      </c>
      <c r="Q11" s="52">
        <f t="shared" si="4"/>
        <v>1</v>
      </c>
      <c r="R11" s="52">
        <f t="shared" si="4"/>
        <v>1</v>
      </c>
      <c r="S11" s="52">
        <f t="shared" si="4"/>
        <v>1</v>
      </c>
      <c r="T11" s="52">
        <f t="shared" si="4"/>
        <v>1</v>
      </c>
      <c r="U11" s="53"/>
      <c r="V11" s="54"/>
      <c r="W11" s="141">
        <f t="shared" si="5"/>
        <v>54</v>
      </c>
      <c r="X11" s="142"/>
      <c r="Y11" s="142"/>
      <c r="Z11" s="142"/>
      <c r="AA11" s="142"/>
      <c r="AB11" s="143"/>
    </row>
    <row r="12" spans="2:28" ht="13.5" thickBot="1" x14ac:dyDescent="0.25">
      <c r="B12" s="57"/>
      <c r="D12" s="58"/>
      <c r="E12" s="4" t="s">
        <v>49</v>
      </c>
      <c r="F12" s="45">
        <v>1</v>
      </c>
      <c r="G12" s="119">
        <f>SUMIF(Backlog[Dev],E12,Backlog[Coding Hours])</f>
        <v>0</v>
      </c>
      <c r="H12" s="46"/>
      <c r="I12" s="51">
        <f t="shared" si="2"/>
        <v>0</v>
      </c>
      <c r="J12" s="52">
        <f t="shared" si="2"/>
        <v>1</v>
      </c>
      <c r="K12" s="52">
        <f t="shared" si="3"/>
        <v>1</v>
      </c>
      <c r="L12" s="52">
        <f t="shared" si="3"/>
        <v>1</v>
      </c>
      <c r="M12" s="52">
        <f t="shared" si="3"/>
        <v>1</v>
      </c>
      <c r="N12" s="53"/>
      <c r="O12" s="54"/>
      <c r="P12" s="51">
        <f t="shared" si="4"/>
        <v>1</v>
      </c>
      <c r="Q12" s="52">
        <f t="shared" si="4"/>
        <v>1</v>
      </c>
      <c r="R12" s="52">
        <f t="shared" si="4"/>
        <v>1</v>
      </c>
      <c r="S12" s="52">
        <f t="shared" si="4"/>
        <v>1</v>
      </c>
      <c r="T12" s="52">
        <f t="shared" si="4"/>
        <v>1</v>
      </c>
      <c r="U12" s="53"/>
      <c r="V12" s="54"/>
      <c r="W12" s="141">
        <f t="shared" si="5"/>
        <v>54</v>
      </c>
      <c r="X12" s="142"/>
      <c r="Y12" s="142"/>
      <c r="Z12" s="142"/>
      <c r="AA12" s="142"/>
      <c r="AB12" s="143"/>
    </row>
    <row r="13" spans="2:28" ht="13.5" thickBot="1" x14ac:dyDescent="0.25">
      <c r="B13" s="57"/>
      <c r="D13" s="59"/>
      <c r="E13" s="4" t="s">
        <v>50</v>
      </c>
      <c r="F13" s="45">
        <v>1</v>
      </c>
      <c r="G13" s="119">
        <f>SUMIF(Backlog[Dev],E13,Backlog[Coding Hours])</f>
        <v>0</v>
      </c>
      <c r="H13" s="46"/>
      <c r="I13" s="51">
        <f t="shared" si="2"/>
        <v>0</v>
      </c>
      <c r="J13" s="52">
        <f t="shared" si="2"/>
        <v>1</v>
      </c>
      <c r="K13" s="52">
        <f t="shared" si="3"/>
        <v>1</v>
      </c>
      <c r="L13" s="52">
        <f t="shared" si="3"/>
        <v>1</v>
      </c>
      <c r="M13" s="52">
        <f t="shared" si="3"/>
        <v>1</v>
      </c>
      <c r="N13" s="53"/>
      <c r="O13" s="54"/>
      <c r="P13" s="51">
        <f t="shared" si="4"/>
        <v>1</v>
      </c>
      <c r="Q13" s="52">
        <f t="shared" si="4"/>
        <v>1</v>
      </c>
      <c r="R13" s="52">
        <f t="shared" si="4"/>
        <v>1</v>
      </c>
      <c r="S13" s="52">
        <f t="shared" si="4"/>
        <v>1</v>
      </c>
      <c r="T13" s="52">
        <f t="shared" si="4"/>
        <v>1</v>
      </c>
      <c r="U13" s="53"/>
      <c r="V13" s="54"/>
      <c r="W13" s="141">
        <f t="shared" si="5"/>
        <v>54</v>
      </c>
      <c r="X13" s="142"/>
      <c r="Y13" s="142"/>
      <c r="Z13" s="142"/>
      <c r="AA13" s="142"/>
      <c r="AB13" s="143"/>
    </row>
    <row r="14" spans="2:28" ht="13.5" thickBot="1" x14ac:dyDescent="0.25">
      <c r="B14" s="57"/>
      <c r="D14" s="25"/>
      <c r="E14" s="4" t="s">
        <v>51</v>
      </c>
      <c r="F14" s="45">
        <v>1</v>
      </c>
      <c r="G14" s="119">
        <f>SUMIF(Backlog[Dev],E14,Backlog[Coding Hours])</f>
        <v>0</v>
      </c>
      <c r="H14" s="46"/>
      <c r="I14" s="51">
        <f t="shared" si="2"/>
        <v>0</v>
      </c>
      <c r="J14" s="52">
        <f t="shared" si="2"/>
        <v>1</v>
      </c>
      <c r="K14" s="52">
        <f t="shared" si="3"/>
        <v>1</v>
      </c>
      <c r="L14" s="52">
        <f t="shared" si="3"/>
        <v>1</v>
      </c>
      <c r="M14" s="52">
        <f t="shared" si="3"/>
        <v>1</v>
      </c>
      <c r="N14" s="53"/>
      <c r="O14" s="54"/>
      <c r="P14" s="51">
        <f t="shared" si="4"/>
        <v>1</v>
      </c>
      <c r="Q14" s="52">
        <f t="shared" si="4"/>
        <v>1</v>
      </c>
      <c r="R14" s="52">
        <f t="shared" si="4"/>
        <v>1</v>
      </c>
      <c r="S14" s="52">
        <f t="shared" si="4"/>
        <v>1</v>
      </c>
      <c r="T14" s="52">
        <f t="shared" si="4"/>
        <v>1</v>
      </c>
      <c r="U14" s="53"/>
      <c r="V14" s="54"/>
      <c r="W14" s="141">
        <f t="shared" si="5"/>
        <v>54</v>
      </c>
      <c r="X14" s="142"/>
      <c r="Y14" s="142"/>
      <c r="Z14" s="142"/>
      <c r="AA14" s="142"/>
      <c r="AB14" s="143"/>
    </row>
    <row r="15" spans="2:28" ht="13.5" thickBot="1" x14ac:dyDescent="0.25">
      <c r="B15" s="57"/>
      <c r="D15" s="25"/>
      <c r="E15" s="4" t="s">
        <v>52</v>
      </c>
      <c r="F15" s="45">
        <v>0.5</v>
      </c>
      <c r="G15" s="119">
        <f>SUMIF(Backlog[Dev],E15,Backlog[Coding Hours])</f>
        <v>0</v>
      </c>
      <c r="H15" s="46"/>
      <c r="I15" s="51">
        <f t="shared" si="2"/>
        <v>0</v>
      </c>
      <c r="J15" s="52">
        <f t="shared" si="2"/>
        <v>1</v>
      </c>
      <c r="K15" s="52">
        <f t="shared" si="3"/>
        <v>1</v>
      </c>
      <c r="L15" s="52">
        <f t="shared" si="3"/>
        <v>1</v>
      </c>
      <c r="M15" s="52">
        <f t="shared" si="3"/>
        <v>1</v>
      </c>
      <c r="N15" s="53"/>
      <c r="O15" s="54"/>
      <c r="P15" s="51">
        <f t="shared" si="4"/>
        <v>1</v>
      </c>
      <c r="Q15" s="52">
        <f t="shared" si="4"/>
        <v>1</v>
      </c>
      <c r="R15" s="52">
        <f t="shared" si="4"/>
        <v>1</v>
      </c>
      <c r="S15" s="52">
        <f t="shared" si="4"/>
        <v>1</v>
      </c>
      <c r="T15" s="52">
        <f t="shared" si="4"/>
        <v>1</v>
      </c>
      <c r="U15" s="53"/>
      <c r="V15" s="54"/>
      <c r="W15" s="141">
        <f t="shared" si="5"/>
        <v>27</v>
      </c>
      <c r="X15" s="142"/>
      <c r="Y15" s="142"/>
      <c r="Z15" s="142"/>
      <c r="AA15" s="142"/>
      <c r="AB15" s="143"/>
    </row>
    <row r="16" spans="2:28" ht="13.5" thickBot="1" x14ac:dyDescent="0.25">
      <c r="B16" s="57"/>
      <c r="D16" s="59"/>
      <c r="E16" s="4" t="s">
        <v>53</v>
      </c>
      <c r="F16" s="45">
        <v>1</v>
      </c>
      <c r="G16" s="119">
        <f>SUMIF(Backlog[Dev],E16,Backlog[Coding Hours])</f>
        <v>0</v>
      </c>
      <c r="H16" s="46"/>
      <c r="I16" s="51">
        <f t="shared" si="2"/>
        <v>0</v>
      </c>
      <c r="J16" s="52">
        <f t="shared" si="2"/>
        <v>1</v>
      </c>
      <c r="K16" s="52">
        <f t="shared" si="3"/>
        <v>1</v>
      </c>
      <c r="L16" s="52">
        <f t="shared" si="3"/>
        <v>1</v>
      </c>
      <c r="M16" s="52">
        <f t="shared" si="3"/>
        <v>1</v>
      </c>
      <c r="N16" s="53"/>
      <c r="O16" s="54"/>
      <c r="P16" s="51">
        <f t="shared" si="4"/>
        <v>1</v>
      </c>
      <c r="Q16" s="52">
        <f t="shared" si="4"/>
        <v>1</v>
      </c>
      <c r="R16" s="52">
        <f t="shared" si="4"/>
        <v>1</v>
      </c>
      <c r="S16" s="52">
        <f t="shared" si="4"/>
        <v>1</v>
      </c>
      <c r="T16" s="52">
        <f t="shared" si="4"/>
        <v>1</v>
      </c>
      <c r="U16" s="53"/>
      <c r="V16" s="54"/>
      <c r="W16" s="141">
        <f t="shared" si="5"/>
        <v>54</v>
      </c>
      <c r="X16" s="142"/>
      <c r="Y16" s="142"/>
      <c r="Z16" s="142"/>
      <c r="AA16" s="142"/>
      <c r="AB16" s="143"/>
    </row>
    <row r="17" spans="2:28" ht="13.5" thickBot="1" x14ac:dyDescent="0.25">
      <c r="B17" s="57"/>
      <c r="D17" s="59"/>
      <c r="E17" s="4" t="s">
        <v>54</v>
      </c>
      <c r="F17" s="45">
        <v>1</v>
      </c>
      <c r="G17" s="119">
        <f>SUMIF(Backlog[Dev],E17,Backlog[Coding Hours])</f>
        <v>0</v>
      </c>
      <c r="H17" s="60"/>
      <c r="I17" s="51">
        <f t="shared" si="2"/>
        <v>0</v>
      </c>
      <c r="J17" s="52">
        <f t="shared" si="2"/>
        <v>1</v>
      </c>
      <c r="K17" s="52">
        <f t="shared" si="3"/>
        <v>1</v>
      </c>
      <c r="L17" s="52">
        <f t="shared" si="3"/>
        <v>1</v>
      </c>
      <c r="M17" s="52">
        <f t="shared" si="3"/>
        <v>1</v>
      </c>
      <c r="N17" s="53"/>
      <c r="O17" s="54"/>
      <c r="P17" s="51">
        <f t="shared" si="4"/>
        <v>1</v>
      </c>
      <c r="Q17" s="52">
        <f t="shared" si="4"/>
        <v>1</v>
      </c>
      <c r="R17" s="52">
        <f t="shared" si="4"/>
        <v>1</v>
      </c>
      <c r="S17" s="52">
        <f t="shared" si="4"/>
        <v>1</v>
      </c>
      <c r="T17" s="52">
        <f t="shared" si="4"/>
        <v>1</v>
      </c>
      <c r="U17" s="53"/>
      <c r="V17" s="54"/>
      <c r="W17" s="141">
        <f t="shared" si="5"/>
        <v>54</v>
      </c>
      <c r="X17" s="142"/>
      <c r="Y17" s="142"/>
      <c r="Z17" s="142"/>
      <c r="AA17" s="142"/>
      <c r="AB17" s="143"/>
    </row>
    <row r="18" spans="2:28" ht="13.5" thickBot="1" x14ac:dyDescent="0.25">
      <c r="B18" s="57"/>
      <c r="D18" s="59"/>
      <c r="E18" s="4" t="s">
        <v>55</v>
      </c>
      <c r="F18" s="45">
        <v>1</v>
      </c>
      <c r="G18" s="119">
        <f>SUMIF(Backlog[Dev],E18,Backlog[Coding Hours])</f>
        <v>0</v>
      </c>
      <c r="H18" s="60"/>
      <c r="I18" s="51">
        <f t="shared" si="2"/>
        <v>0</v>
      </c>
      <c r="J18" s="52">
        <f t="shared" si="2"/>
        <v>1</v>
      </c>
      <c r="K18" s="52">
        <f t="shared" si="3"/>
        <v>1</v>
      </c>
      <c r="L18" s="52">
        <f t="shared" si="3"/>
        <v>1</v>
      </c>
      <c r="M18" s="52">
        <f t="shared" si="3"/>
        <v>1</v>
      </c>
      <c r="N18" s="53"/>
      <c r="O18" s="54"/>
      <c r="P18" s="51">
        <f t="shared" si="4"/>
        <v>1</v>
      </c>
      <c r="Q18" s="52">
        <f t="shared" si="4"/>
        <v>1</v>
      </c>
      <c r="R18" s="52">
        <f t="shared" si="4"/>
        <v>1</v>
      </c>
      <c r="S18" s="52">
        <f t="shared" si="4"/>
        <v>1</v>
      </c>
      <c r="T18" s="52">
        <f t="shared" si="4"/>
        <v>1</v>
      </c>
      <c r="U18" s="53"/>
      <c r="V18" s="54"/>
      <c r="W18" s="141">
        <f t="shared" si="5"/>
        <v>54</v>
      </c>
      <c r="X18" s="142"/>
      <c r="Y18" s="142"/>
      <c r="Z18" s="142"/>
      <c r="AA18" s="142"/>
      <c r="AB18" s="143"/>
    </row>
    <row r="19" spans="2:28" ht="13.5" thickBot="1" x14ac:dyDescent="0.25">
      <c r="B19" s="57"/>
      <c r="D19" s="59"/>
      <c r="E19" s="4" t="s">
        <v>56</v>
      </c>
      <c r="F19" s="45">
        <v>1</v>
      </c>
      <c r="G19" s="119">
        <f>SUMIF(Backlog[Dev],E19,Backlog[Coding Hours])</f>
        <v>0</v>
      </c>
      <c r="H19" s="60"/>
      <c r="I19" s="51">
        <f t="shared" ref="I19:I25" si="6">IF(I$6&lt;$E$3,0,IF(ISBLANK($E19),0,IF(I$6&lt;$E$2,0,1)))</f>
        <v>0</v>
      </c>
      <c r="J19" s="52">
        <f t="shared" ref="J19:J25" si="7">IF(J$6&lt;$E$3,0,IF(ISBLANK($E19),0,IF(J$6&lt;$E$2,0,1)))</f>
        <v>1</v>
      </c>
      <c r="K19" s="52">
        <f t="shared" si="3"/>
        <v>1</v>
      </c>
      <c r="L19" s="52">
        <f t="shared" si="3"/>
        <v>1</v>
      </c>
      <c r="M19" s="52">
        <f t="shared" si="3"/>
        <v>1</v>
      </c>
      <c r="N19" s="53"/>
      <c r="O19" s="54"/>
      <c r="P19" s="51">
        <f t="shared" ref="P19:Q25" si="8">IF(P$6&lt;$E$3,0,IF(ISBLANK($E19),0,IF(P$6&lt;$E$2,0,1)))</f>
        <v>1</v>
      </c>
      <c r="Q19" s="52">
        <f t="shared" si="8"/>
        <v>1</v>
      </c>
      <c r="R19" s="52">
        <f t="shared" ref="R19:T23" si="9">IF(R$6&lt;$E$3,0,IF(ISBLANK($E19),0,IF(R$6&lt;$E$2,0,1)))</f>
        <v>1</v>
      </c>
      <c r="S19" s="52">
        <f t="shared" si="9"/>
        <v>1</v>
      </c>
      <c r="T19" s="52">
        <f t="shared" si="9"/>
        <v>1</v>
      </c>
      <c r="U19" s="53"/>
      <c r="V19" s="54"/>
      <c r="W19" s="141">
        <f t="shared" si="5"/>
        <v>54</v>
      </c>
      <c r="X19" s="142"/>
      <c r="Y19" s="142"/>
      <c r="Z19" s="142"/>
      <c r="AA19" s="142"/>
      <c r="AB19" s="143"/>
    </row>
    <row r="20" spans="2:28" ht="13.5" thickBot="1" x14ac:dyDescent="0.25">
      <c r="B20" s="57"/>
      <c r="D20" s="59"/>
      <c r="E20" s="4" t="s">
        <v>57</v>
      </c>
      <c r="F20" s="45">
        <v>1</v>
      </c>
      <c r="G20" s="119">
        <f>SUMIF(Backlog[Dev],E20,Backlog[Coding Hours])</f>
        <v>0</v>
      </c>
      <c r="H20" s="60"/>
      <c r="I20" s="51">
        <f t="shared" si="6"/>
        <v>0</v>
      </c>
      <c r="J20" s="52">
        <f t="shared" si="7"/>
        <v>1</v>
      </c>
      <c r="K20" s="52">
        <f t="shared" si="3"/>
        <v>1</v>
      </c>
      <c r="L20" s="52">
        <f t="shared" si="3"/>
        <v>1</v>
      </c>
      <c r="M20" s="52">
        <f t="shared" si="3"/>
        <v>1</v>
      </c>
      <c r="N20" s="53"/>
      <c r="O20" s="54"/>
      <c r="P20" s="51">
        <f t="shared" si="8"/>
        <v>1</v>
      </c>
      <c r="Q20" s="52">
        <f t="shared" si="8"/>
        <v>1</v>
      </c>
      <c r="R20" s="52">
        <f t="shared" si="9"/>
        <v>1</v>
      </c>
      <c r="S20" s="52">
        <f t="shared" si="9"/>
        <v>1</v>
      </c>
      <c r="T20" s="52">
        <f t="shared" si="9"/>
        <v>1</v>
      </c>
      <c r="U20" s="53"/>
      <c r="V20" s="54"/>
      <c r="W20" s="141">
        <f t="shared" si="5"/>
        <v>54</v>
      </c>
      <c r="X20" s="142"/>
      <c r="Y20" s="142"/>
      <c r="Z20" s="142"/>
      <c r="AA20" s="142"/>
      <c r="AB20" s="143"/>
    </row>
    <row r="21" spans="2:28" ht="13.5" thickBot="1" x14ac:dyDescent="0.25">
      <c r="B21" s="57"/>
      <c r="C21" s="61"/>
      <c r="D21" s="59"/>
      <c r="E21" s="4" t="s">
        <v>58</v>
      </c>
      <c r="F21" s="45">
        <v>0.3</v>
      </c>
      <c r="G21" s="119">
        <f>SUMIF(Backlog[Dev],E21,Backlog[Coding Hours])</f>
        <v>0</v>
      </c>
      <c r="H21" s="60"/>
      <c r="I21" s="51">
        <f t="shared" si="6"/>
        <v>0</v>
      </c>
      <c r="J21" s="52">
        <f t="shared" si="7"/>
        <v>1</v>
      </c>
      <c r="K21" s="52">
        <f t="shared" si="3"/>
        <v>1</v>
      </c>
      <c r="L21" s="52">
        <f t="shared" si="3"/>
        <v>1</v>
      </c>
      <c r="M21" s="52">
        <f t="shared" si="3"/>
        <v>1</v>
      </c>
      <c r="N21" s="53"/>
      <c r="O21" s="54"/>
      <c r="P21" s="51">
        <f t="shared" si="8"/>
        <v>1</v>
      </c>
      <c r="Q21" s="52">
        <f t="shared" si="8"/>
        <v>1</v>
      </c>
      <c r="R21" s="52">
        <f t="shared" si="9"/>
        <v>1</v>
      </c>
      <c r="S21" s="52">
        <f t="shared" si="9"/>
        <v>1</v>
      </c>
      <c r="T21" s="52">
        <f t="shared" si="9"/>
        <v>1</v>
      </c>
      <c r="U21" s="53"/>
      <c r="V21" s="54"/>
      <c r="W21" s="141">
        <f t="shared" si="5"/>
        <v>16.2</v>
      </c>
      <c r="X21" s="142"/>
      <c r="Y21" s="142"/>
      <c r="Z21" s="142"/>
      <c r="AA21" s="142"/>
      <c r="AB21" s="143"/>
    </row>
    <row r="22" spans="2:28" ht="13.5" thickBot="1" x14ac:dyDescent="0.25">
      <c r="B22" s="33"/>
      <c r="C22" s="62"/>
      <c r="D22" s="59"/>
      <c r="E22" s="4" t="s">
        <v>59</v>
      </c>
      <c r="F22" s="45">
        <v>1</v>
      </c>
      <c r="G22" s="119">
        <f>SUMIF(Backlog[Dev],E22,Backlog[Coding Hours])</f>
        <v>0</v>
      </c>
      <c r="H22" s="60"/>
      <c r="I22" s="51">
        <f t="shared" si="6"/>
        <v>0</v>
      </c>
      <c r="J22" s="52">
        <f t="shared" si="7"/>
        <v>1</v>
      </c>
      <c r="K22" s="52">
        <f t="shared" si="3"/>
        <v>1</v>
      </c>
      <c r="L22" s="52">
        <f t="shared" si="3"/>
        <v>1</v>
      </c>
      <c r="M22" s="52">
        <f t="shared" si="3"/>
        <v>1</v>
      </c>
      <c r="N22" s="53"/>
      <c r="O22" s="54"/>
      <c r="P22" s="51">
        <f t="shared" si="8"/>
        <v>1</v>
      </c>
      <c r="Q22" s="52">
        <f t="shared" si="8"/>
        <v>1</v>
      </c>
      <c r="R22" s="52">
        <f t="shared" si="9"/>
        <v>1</v>
      </c>
      <c r="S22" s="52">
        <f t="shared" si="9"/>
        <v>1</v>
      </c>
      <c r="T22" s="52">
        <f t="shared" si="9"/>
        <v>1</v>
      </c>
      <c r="U22" s="53"/>
      <c r="V22" s="54"/>
      <c r="W22" s="141">
        <f t="shared" si="5"/>
        <v>54</v>
      </c>
      <c r="X22" s="142"/>
      <c r="Y22" s="142"/>
      <c r="Z22" s="142"/>
      <c r="AA22" s="142"/>
      <c r="AB22" s="143"/>
    </row>
    <row r="23" spans="2:28" ht="13.5" thickBot="1" x14ac:dyDescent="0.25">
      <c r="B23" s="33"/>
      <c r="D23" s="59"/>
      <c r="E23" s="4"/>
      <c r="F23" s="63"/>
      <c r="G23" s="119">
        <f>SUMIF(Backlog[Dev],E23,Backlog[Coding Hours])</f>
        <v>0</v>
      </c>
      <c r="H23" s="60"/>
      <c r="I23" s="51">
        <f t="shared" si="6"/>
        <v>0</v>
      </c>
      <c r="J23" s="52">
        <f t="shared" si="7"/>
        <v>0</v>
      </c>
      <c r="K23" s="52">
        <f t="shared" si="3"/>
        <v>0</v>
      </c>
      <c r="L23" s="52">
        <f t="shared" si="3"/>
        <v>0</v>
      </c>
      <c r="M23" s="52">
        <f t="shared" si="3"/>
        <v>0</v>
      </c>
      <c r="N23" s="53"/>
      <c r="O23" s="54"/>
      <c r="P23" s="51">
        <f t="shared" si="8"/>
        <v>0</v>
      </c>
      <c r="Q23" s="52">
        <f t="shared" si="8"/>
        <v>0</v>
      </c>
      <c r="R23" s="52">
        <f t="shared" si="9"/>
        <v>0</v>
      </c>
      <c r="S23" s="52">
        <f t="shared" si="9"/>
        <v>0</v>
      </c>
      <c r="T23" s="52">
        <f t="shared" si="9"/>
        <v>0</v>
      </c>
      <c r="U23" s="53"/>
      <c r="V23" s="54"/>
      <c r="W23" s="141">
        <f t="shared" si="5"/>
        <v>0</v>
      </c>
      <c r="X23" s="142"/>
      <c r="Y23" s="142"/>
      <c r="Z23" s="142"/>
      <c r="AA23" s="142"/>
      <c r="AB23" s="143"/>
    </row>
    <row r="24" spans="2:28" ht="13.5" thickBot="1" x14ac:dyDescent="0.25">
      <c r="B24" s="57"/>
      <c r="D24" s="59"/>
      <c r="E24" s="4"/>
      <c r="F24" s="63"/>
      <c r="G24" s="119">
        <f>SUMIF(Backlog[Dev],E24,Backlog[Coding Hours])</f>
        <v>0</v>
      </c>
      <c r="H24" s="60"/>
      <c r="I24" s="51">
        <f t="shared" si="6"/>
        <v>0</v>
      </c>
      <c r="J24" s="52">
        <f t="shared" si="7"/>
        <v>0</v>
      </c>
      <c r="K24" s="52">
        <f t="shared" ref="K24:M25" si="10">IF(K$6&lt;$E$3,0,IF(ISBLANK($E24),0,IF(K$6&lt;$E$2,0,1)))</f>
        <v>0</v>
      </c>
      <c r="L24" s="52">
        <f t="shared" si="10"/>
        <v>0</v>
      </c>
      <c r="M24" s="52">
        <f t="shared" si="10"/>
        <v>0</v>
      </c>
      <c r="N24" s="53"/>
      <c r="O24" s="54"/>
      <c r="P24" s="51">
        <f t="shared" si="8"/>
        <v>0</v>
      </c>
      <c r="Q24" s="52">
        <f t="shared" si="8"/>
        <v>0</v>
      </c>
      <c r="R24" s="52">
        <f t="shared" ref="R24:T25" si="11">IF(R$6&lt;$E$3,0,IF(ISBLANK($E24),0,IF(R$6&lt;$E$2,0,1)))</f>
        <v>0</v>
      </c>
      <c r="S24" s="52">
        <f t="shared" si="11"/>
        <v>0</v>
      </c>
      <c r="T24" s="52">
        <f t="shared" si="11"/>
        <v>0</v>
      </c>
      <c r="U24" s="53"/>
      <c r="V24" s="54"/>
      <c r="W24" s="141">
        <f t="shared" si="5"/>
        <v>0</v>
      </c>
      <c r="X24" s="142"/>
      <c r="Y24" s="142"/>
      <c r="Z24" s="142"/>
      <c r="AA24" s="142"/>
      <c r="AB24" s="143"/>
    </row>
    <row r="25" spans="2:28" ht="13.5" thickBot="1" x14ac:dyDescent="0.25">
      <c r="B25" s="57"/>
      <c r="D25" s="59"/>
      <c r="E25" s="64"/>
      <c r="F25" s="65"/>
      <c r="G25" s="119">
        <f>SUMIF(Backlog[Dev],E25,Backlog[Coding Hours])</f>
        <v>0</v>
      </c>
      <c r="H25" s="60"/>
      <c r="I25" s="66">
        <f t="shared" si="6"/>
        <v>0</v>
      </c>
      <c r="J25" s="67">
        <f t="shared" si="7"/>
        <v>0</v>
      </c>
      <c r="K25" s="67">
        <f t="shared" si="10"/>
        <v>0</v>
      </c>
      <c r="L25" s="67">
        <f t="shared" si="10"/>
        <v>0</v>
      </c>
      <c r="M25" s="67">
        <f t="shared" si="10"/>
        <v>0</v>
      </c>
      <c r="N25" s="68"/>
      <c r="O25" s="69"/>
      <c r="P25" s="66">
        <f t="shared" si="8"/>
        <v>0</v>
      </c>
      <c r="Q25" s="67">
        <f t="shared" si="8"/>
        <v>0</v>
      </c>
      <c r="R25" s="67">
        <f t="shared" si="11"/>
        <v>0</v>
      </c>
      <c r="S25" s="67">
        <f t="shared" si="11"/>
        <v>0</v>
      </c>
      <c r="T25" s="67">
        <f t="shared" si="11"/>
        <v>0</v>
      </c>
      <c r="U25" s="68"/>
      <c r="V25" s="69"/>
      <c r="W25" s="141">
        <f t="shared" si="5"/>
        <v>0</v>
      </c>
      <c r="X25" s="142"/>
      <c r="Y25" s="142"/>
      <c r="Z25" s="142"/>
      <c r="AA25" s="142"/>
      <c r="AB25" s="143"/>
    </row>
    <row r="26" spans="2:28" x14ac:dyDescent="0.2">
      <c r="B26" s="57"/>
      <c r="D26" s="59"/>
      <c r="E26" s="70"/>
      <c r="F26" s="61"/>
      <c r="G26" s="71"/>
      <c r="I26" s="72"/>
      <c r="J26" s="73"/>
      <c r="K26" s="73"/>
      <c r="L26" s="73"/>
      <c r="M26" s="73"/>
      <c r="N26" s="74"/>
      <c r="O26" s="74"/>
      <c r="P26" s="73"/>
      <c r="Q26" s="73"/>
      <c r="R26" s="73"/>
      <c r="S26" s="73"/>
      <c r="T26" s="73"/>
      <c r="U26" s="74"/>
      <c r="V26" s="74"/>
      <c r="W26" s="75"/>
      <c r="X26" s="75"/>
      <c r="Y26" s="75"/>
      <c r="Z26" s="75"/>
      <c r="AA26" s="75"/>
      <c r="AB26" s="76"/>
    </row>
    <row r="27" spans="2:28" ht="13.5" thickBot="1" x14ac:dyDescent="0.25">
      <c r="B27" s="77"/>
      <c r="C27" s="78"/>
      <c r="D27" s="78"/>
      <c r="E27" s="79"/>
      <c r="F27" s="79"/>
      <c r="G27" s="80"/>
      <c r="I27" s="81"/>
      <c r="J27" s="79"/>
      <c r="K27" s="79"/>
      <c r="L27" s="79"/>
      <c r="M27" s="82"/>
      <c r="N27" s="82"/>
      <c r="O27" s="82"/>
      <c r="P27" s="82"/>
      <c r="Q27" s="82"/>
      <c r="R27" s="79"/>
      <c r="S27" s="79"/>
      <c r="T27" s="82"/>
      <c r="U27" s="82"/>
      <c r="V27" s="82"/>
      <c r="W27" s="79"/>
      <c r="X27" s="79"/>
      <c r="Y27" s="79"/>
      <c r="Z27" s="79"/>
      <c r="AA27" s="79"/>
      <c r="AB27" s="80"/>
    </row>
    <row r="29" spans="2:28" x14ac:dyDescent="0.2">
      <c r="I29" s="83" t="s">
        <v>18</v>
      </c>
      <c r="J29" s="6" t="s">
        <v>8</v>
      </c>
      <c r="K29" s="6" t="s">
        <v>19</v>
      </c>
      <c r="Q29" s="83" t="s">
        <v>17</v>
      </c>
      <c r="R29" s="6" t="s">
        <v>8</v>
      </c>
      <c r="S29" s="6" t="s">
        <v>20</v>
      </c>
    </row>
    <row r="30" spans="2:28" x14ac:dyDescent="0.2">
      <c r="C30" s="84"/>
      <c r="D30" s="84"/>
    </row>
    <row r="31" spans="2:28" x14ac:dyDescent="0.2">
      <c r="B31" s="59"/>
      <c r="C31" s="84"/>
      <c r="D31" s="84"/>
      <c r="E31" s="85"/>
      <c r="J31" s="1"/>
    </row>
    <row r="32" spans="2:28" x14ac:dyDescent="0.2">
      <c r="C32" s="84"/>
      <c r="D32" s="84"/>
      <c r="E32" s="85"/>
      <c r="F32" s="16"/>
    </row>
    <row r="37" spans="2:22" x14ac:dyDescent="0.2">
      <c r="I37" s="86"/>
    </row>
    <row r="38" spans="2:22" x14ac:dyDescent="0.2">
      <c r="J38" s="87"/>
      <c r="K38" s="88"/>
      <c r="L38" s="88"/>
      <c r="M38" s="88"/>
      <c r="N38" s="88"/>
      <c r="O38" s="88"/>
      <c r="Q38" s="87"/>
      <c r="R38" s="88"/>
      <c r="S38" s="88"/>
      <c r="T38" s="88"/>
      <c r="U38" s="88"/>
      <c r="V38" s="88"/>
    </row>
    <row r="40" spans="2:22" x14ac:dyDescent="0.2">
      <c r="E40" s="1"/>
    </row>
    <row r="45" spans="2:22" x14ac:dyDescent="0.2">
      <c r="B45" s="89"/>
      <c r="E45" s="86"/>
    </row>
  </sheetData>
  <mergeCells count="21">
    <mergeCell ref="B5:G5"/>
    <mergeCell ref="W6:AB6"/>
    <mergeCell ref="W12:AB12"/>
    <mergeCell ref="W11:AB11"/>
    <mergeCell ref="W7:AB7"/>
    <mergeCell ref="W8:AB8"/>
    <mergeCell ref="W9:AB9"/>
    <mergeCell ref="W10:AB10"/>
    <mergeCell ref="W20:AB20"/>
    <mergeCell ref="W16:AB16"/>
    <mergeCell ref="W17:AB17"/>
    <mergeCell ref="W18:AB18"/>
    <mergeCell ref="W13:AB13"/>
    <mergeCell ref="W14:AB14"/>
    <mergeCell ref="W15:AB15"/>
    <mergeCell ref="W19:AB19"/>
    <mergeCell ref="W21:AB21"/>
    <mergeCell ref="W23:AB23"/>
    <mergeCell ref="W24:AB24"/>
    <mergeCell ref="W25:AB25"/>
    <mergeCell ref="W22:AB22"/>
  </mergeCells>
  <phoneticPr fontId="0" type="noConversion"/>
  <conditionalFormatting sqref="G8:G25">
    <cfRule type="expression" dxfId="24" priority="2" stopIfTrue="1">
      <formula>G8&gt;W8</formula>
    </cfRule>
  </conditionalFormatting>
  <conditionalFormatting sqref="I8:M25 P8:T25">
    <cfRule type="cellIs" dxfId="23" priority="5" stopIfTrue="1" operator="equal">
      <formula>"H"</formula>
    </cfRule>
    <cfRule type="cellIs" dxfId="22" priority="6" stopIfTrue="1" operator="equal">
      <formula>"V"</formula>
    </cfRule>
    <cfRule type="expression" dxfId="21" priority="7" stopIfTrue="1">
      <formula>IF(I$6&lt;$E$2,1,0)</formula>
    </cfRule>
  </conditionalFormatting>
  <conditionalFormatting sqref="X30:X34 X26:X28 J32:J34 J26:J30 I26:I34 Q29 T26:W34 N8:O25 K26:O34 U8:V25 P30:S34 P26:S28">
    <cfRule type="cellIs" dxfId="20" priority="13" stopIfTrue="1" operator="equal">
      <formula>"DIO"</formula>
    </cfRule>
    <cfRule type="cellIs" dxfId="19" priority="14" stopIfTrue="1" operator="equal">
      <formula>"H"</formula>
    </cfRule>
    <cfRule type="cellIs" dxfId="18" priority="15" stopIfTrue="1" operator="equal">
      <formula>"V"</formula>
    </cfRule>
  </conditionalFormatting>
  <conditionalFormatting sqref="P6">
    <cfRule type="expression" dxfId="17" priority="21" stopIfTrue="1">
      <formula>P$6=TODAY()</formula>
    </cfRule>
    <cfRule type="expression" dxfId="16" priority="22" stopIfTrue="1">
      <formula>IF((P$6+1-$E$3)=$F$6,1,0)</formula>
    </cfRule>
  </conditionalFormatting>
  <conditionalFormatting sqref="Q6:V6 J6:O6">
    <cfRule type="expression" dxfId="15" priority="23" stopIfTrue="1">
      <formula>J$6=TODAY()</formula>
    </cfRule>
    <cfRule type="expression" dxfId="14" priority="24" stopIfTrue="1">
      <formula>IF((J$6+1-$E$3)=$F$6,1,0)</formula>
    </cfRule>
  </conditionalFormatting>
  <conditionalFormatting sqref="I6">
    <cfRule type="expression" dxfId="13" priority="25" stopIfTrue="1">
      <formula>I$6=TODAY()</formula>
    </cfRule>
    <cfRule type="expression" dxfId="12" priority="26" stopIfTrue="1">
      <formula>IF((J$6+1-$E$3)=$F$6,1,0)</formula>
    </cfRule>
  </conditionalFormatting>
  <conditionalFormatting sqref="F26:F27 F8:F22">
    <cfRule type="expression" dxfId="11" priority="1" stopIfTrue="1">
      <formula>H8&gt;X8</formula>
    </cfRule>
  </conditionalFormatting>
  <conditionalFormatting sqref="F30:F33">
    <cfRule type="expression" dxfId="10" priority="4" stopIfTrue="1">
      <formula>H28&gt;X28</formula>
    </cfRule>
  </conditionalFormatting>
  <conditionalFormatting sqref="C10">
    <cfRule type="cellIs" dxfId="9" priority="8" stopIfTrue="1" operator="greaterThan">
      <formula>0</formula>
    </cfRule>
    <cfRule type="cellIs" dxfId="8" priority="9" stopIfTrue="1" operator="lessThanOrEqual">
      <formula>0</formula>
    </cfRule>
  </conditionalFormatting>
  <conditionalFormatting sqref="C22 D14:D15 D6:D12 C6:C9">
    <cfRule type="cellIs" dxfId="7" priority="10" stopIfTrue="1" operator="equal">
      <formula>"3A"</formula>
    </cfRule>
    <cfRule type="cellIs" dxfId="6" priority="11" stopIfTrue="1" operator="equal">
      <formula>"3B"</formula>
    </cfRule>
  </conditionalFormatting>
  <conditionalFormatting sqref="G32:G34 G6">
    <cfRule type="cellIs" dxfId="5" priority="12" stopIfTrue="1" operator="equal">
      <formula>"Done"</formula>
    </cfRule>
  </conditionalFormatting>
  <conditionalFormatting sqref="I7:K7 M7:W7">
    <cfRule type="cellIs" dxfId="4" priority="16" stopIfTrue="1" operator="equal">
      <formula>"DIO"</formula>
    </cfRule>
    <cfRule type="cellIs" dxfId="3" priority="17" stopIfTrue="1" operator="equal">
      <formula>"H"</formula>
    </cfRule>
    <cfRule type="cellIs" dxfId="2" priority="18" stopIfTrue="1" operator="equal">
      <formula>"V"</formula>
    </cfRule>
  </conditionalFormatting>
  <conditionalFormatting sqref="L7">
    <cfRule type="cellIs" dxfId="1" priority="19" stopIfTrue="1" operator="equal">
      <formula>"DIO"</formula>
    </cfRule>
    <cfRule type="cellIs" dxfId="0" priority="20" stopIfTrue="1" operator="equal">
      <formula>"H"</formula>
    </cfRule>
  </conditionalFormatting>
  <dataValidations count="1">
    <dataValidation type="list" allowBlank="1" showInputMessage="1" showErrorMessage="1" sqref="B30 E8:E25">
      <formula1>Members</formula1>
    </dataValidation>
  </dataValidations>
  <printOptions horizontalCentered="1" verticalCentered="1"/>
  <pageMargins left="0.75" right="0.75" top="1" bottom="1" header="0.5" footer="0.5"/>
  <pageSetup scale="50" orientation="landscape" horizontalDpi="300" verticalDpi="300" r:id="rId1"/>
  <headerFooter alignWithMargins="0"/>
  <rowBreaks count="1" manualBreakCount="1">
    <brk id="33" max="16383" man="1"/>
  </row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33"/>
  <sheetViews>
    <sheetView workbookViewId="0">
      <selection activeCell="C38" sqref="C38"/>
    </sheetView>
  </sheetViews>
  <sheetFormatPr defaultRowHeight="12.75" x14ac:dyDescent="0.2"/>
  <cols>
    <col min="1" max="1" width="23.28515625" customWidth="1"/>
    <col min="2" max="2" width="10.7109375" customWidth="1"/>
    <col min="3" max="3" width="17.5703125" style="110" customWidth="1"/>
  </cols>
  <sheetData>
    <row r="1" spans="1:3" ht="15" x14ac:dyDescent="0.25">
      <c r="A1" s="115" t="s">
        <v>35</v>
      </c>
      <c r="B1" s="115" t="s">
        <v>37</v>
      </c>
      <c r="C1" s="115" t="s">
        <v>38</v>
      </c>
    </row>
    <row r="2" spans="1:3" ht="15" x14ac:dyDescent="0.25">
      <c r="A2" s="122" t="s">
        <v>83</v>
      </c>
      <c r="B2" s="112">
        <f>COUNTIF(Backlog[Type], A2)</f>
        <v>0</v>
      </c>
      <c r="C2" s="111" t="str">
        <f>IF(B6&lt;&gt;0,B2/$B$6,"")</f>
        <v/>
      </c>
    </row>
    <row r="3" spans="1:3" ht="15" x14ac:dyDescent="0.25">
      <c r="A3" s="122" t="s">
        <v>82</v>
      </c>
      <c r="B3" s="112">
        <f>COUNTIF(Backlog[Type], A3)</f>
        <v>0</v>
      </c>
      <c r="C3" s="111" t="str">
        <f>IF(B6&lt;&gt;0,B3/$B$6,"")</f>
        <v/>
      </c>
    </row>
    <row r="4" spans="1:3" ht="15" x14ac:dyDescent="0.25">
      <c r="A4" s="122" t="s">
        <v>84</v>
      </c>
      <c r="B4" s="112">
        <f>COUNTIF(Backlog[Type], A4)</f>
        <v>0</v>
      </c>
      <c r="C4" s="111" t="str">
        <f>IF(B6&lt;&gt;0,B4/$B$6,"")</f>
        <v/>
      </c>
    </row>
    <row r="5" spans="1:3" ht="15" x14ac:dyDescent="0.25">
      <c r="A5" s="122" t="s">
        <v>34</v>
      </c>
      <c r="B5" s="112">
        <f>COUNTIF(Backlog[Type], A5)</f>
        <v>0</v>
      </c>
      <c r="C5" s="111" t="str">
        <f>IF(B6&lt;&gt;0,B5/$B$6,"")</f>
        <v/>
      </c>
    </row>
    <row r="6" spans="1:3" ht="15" x14ac:dyDescent="0.25">
      <c r="A6" s="114" t="s">
        <v>29</v>
      </c>
      <c r="B6" s="113">
        <f>SUM(B2:B5)</f>
        <v>0</v>
      </c>
      <c r="C6" s="116">
        <f>SUM(C2:C5)</f>
        <v>0</v>
      </c>
    </row>
    <row r="7" spans="1:3" ht="15" x14ac:dyDescent="0.25">
      <c r="A7" s="109"/>
      <c r="B7" s="109"/>
    </row>
    <row r="8" spans="1:3" ht="15" x14ac:dyDescent="0.25">
      <c r="A8" s="115" t="s">
        <v>36</v>
      </c>
      <c r="B8" s="115" t="s">
        <v>37</v>
      </c>
      <c r="C8" s="115" t="s">
        <v>38</v>
      </c>
    </row>
    <row r="9" spans="1:3" ht="15" x14ac:dyDescent="0.25">
      <c r="A9" s="121" t="s">
        <v>73</v>
      </c>
      <c r="B9" s="112">
        <f>COUNTIF(Backlog[Area], A9)</f>
        <v>0</v>
      </c>
      <c r="C9" s="111" t="str">
        <f>IF(B25&lt;&gt;0,B9/$B$25,"")</f>
        <v/>
      </c>
    </row>
    <row r="10" spans="1:3" ht="15" x14ac:dyDescent="0.25">
      <c r="A10" s="121" t="s">
        <v>74</v>
      </c>
      <c r="B10" s="112">
        <f>COUNTIF(Backlog[Area], A10)</f>
        <v>0</v>
      </c>
      <c r="C10" s="111" t="str">
        <f>IF(B25&lt;&gt;0,B10/$B$25,"")</f>
        <v/>
      </c>
    </row>
    <row r="11" spans="1:3" ht="15" x14ac:dyDescent="0.25">
      <c r="A11" s="121" t="s">
        <v>75</v>
      </c>
      <c r="B11" s="112">
        <f>COUNTIF(Backlog[Area], A11)</f>
        <v>0</v>
      </c>
      <c r="C11" s="111" t="str">
        <f>IF(B25&lt;&gt;0,B11/$B$25,"")</f>
        <v/>
      </c>
    </row>
    <row r="12" spans="1:3" ht="15" x14ac:dyDescent="0.25">
      <c r="A12" s="121" t="s">
        <v>72</v>
      </c>
      <c r="B12" s="112">
        <f>COUNTIF(Backlog[Area], A12)</f>
        <v>0</v>
      </c>
      <c r="C12" s="111" t="str">
        <f>IF(B25&lt;&gt;0,B12/$B$25,"")</f>
        <v/>
      </c>
    </row>
    <row r="13" spans="1:3" ht="15" x14ac:dyDescent="0.25">
      <c r="A13" s="121" t="s">
        <v>41</v>
      </c>
      <c r="B13" s="112">
        <f>COUNTIF(Backlog[Area], A13)</f>
        <v>0</v>
      </c>
      <c r="C13" s="111" t="str">
        <f>IF(B25&lt;&gt;0,B13/$B$25,"")</f>
        <v/>
      </c>
    </row>
    <row r="14" spans="1:3" ht="15" x14ac:dyDescent="0.25">
      <c r="A14" s="121" t="s">
        <v>76</v>
      </c>
      <c r="B14" s="112">
        <f>COUNTIF(Backlog[Area], A14)</f>
        <v>0</v>
      </c>
      <c r="C14" s="111" t="str">
        <f>IF(B25&lt;&gt;0,B14/$B$25,"")</f>
        <v/>
      </c>
    </row>
    <row r="15" spans="1:3" ht="15" x14ac:dyDescent="0.25">
      <c r="A15" s="121" t="s">
        <v>77</v>
      </c>
      <c r="B15" s="112">
        <f>COUNTIF(Backlog[Area], A15)</f>
        <v>0</v>
      </c>
      <c r="C15" s="111" t="str">
        <f>IF(B25&lt;&gt;0,B15/$B$25,"")</f>
        <v/>
      </c>
    </row>
    <row r="16" spans="1:3" ht="15" x14ac:dyDescent="0.25">
      <c r="A16" s="121" t="s">
        <v>78</v>
      </c>
      <c r="B16" s="112">
        <f>COUNTIF(Backlog[Area], A16)</f>
        <v>0</v>
      </c>
      <c r="C16" s="111" t="str">
        <f>IF(B25&lt;&gt;0,B16/$B$25,"")</f>
        <v/>
      </c>
    </row>
    <row r="17" spans="1:3" ht="15" x14ac:dyDescent="0.25">
      <c r="A17" s="122" t="s">
        <v>79</v>
      </c>
      <c r="B17" s="112">
        <f>COUNTIF(Backlog[Area], A17)</f>
        <v>0</v>
      </c>
      <c r="C17" s="111" t="str">
        <f>IF(B25&lt;&gt;0,B17/$B$25,"")</f>
        <v/>
      </c>
    </row>
    <row r="18" spans="1:3" ht="15" x14ac:dyDescent="0.25">
      <c r="A18" s="121" t="s">
        <v>80</v>
      </c>
      <c r="B18" s="112">
        <f>COUNTIF(Backlog[Area], A18)</f>
        <v>0</v>
      </c>
      <c r="C18" s="111" t="str">
        <f>IF(B25&lt;&gt;0,B18/$B$25,"")</f>
        <v/>
      </c>
    </row>
    <row r="19" spans="1:3" ht="15" x14ac:dyDescent="0.25">
      <c r="A19" s="121" t="s">
        <v>85</v>
      </c>
      <c r="B19" s="112">
        <f>COUNTIF(Backlog[Area], A19)</f>
        <v>0</v>
      </c>
      <c r="C19" s="111" t="str">
        <f>IF(B25&lt;&gt;0,B19/$B$25,"")</f>
        <v/>
      </c>
    </row>
    <row r="20" spans="1:3" ht="15" x14ac:dyDescent="0.25">
      <c r="A20" s="122"/>
      <c r="B20" s="112">
        <f>COUNTIF(Backlog[Area], A20)</f>
        <v>0</v>
      </c>
      <c r="C20" s="111" t="str">
        <f>IF(B25&lt;&gt;0,B20/$B$25,"")</f>
        <v/>
      </c>
    </row>
    <row r="21" spans="1:3" ht="15" x14ac:dyDescent="0.25">
      <c r="A21" s="122"/>
      <c r="B21" s="112">
        <f>COUNTIF(Backlog[Area], A21)</f>
        <v>0</v>
      </c>
      <c r="C21" s="111" t="str">
        <f>IF(B25&lt;&gt;0,B21/$B$25,"")</f>
        <v/>
      </c>
    </row>
    <row r="22" spans="1:3" ht="15" x14ac:dyDescent="0.25">
      <c r="A22" s="122"/>
      <c r="B22" s="112">
        <f>COUNTIF(Backlog[Area], A22)</f>
        <v>0</v>
      </c>
      <c r="C22" s="111" t="str">
        <f>IF(B25&lt;&gt;0,B22/$B$25,"")</f>
        <v/>
      </c>
    </row>
    <row r="23" spans="1:3" ht="15" x14ac:dyDescent="0.25">
      <c r="A23" s="122"/>
      <c r="B23" s="112">
        <f>COUNTIF(Backlog[Area], A23)</f>
        <v>0</v>
      </c>
      <c r="C23" s="111" t="str">
        <f>IF(B25&lt;&gt;0,B23/$B$25,"")</f>
        <v/>
      </c>
    </row>
    <row r="24" spans="1:3" ht="15" x14ac:dyDescent="0.25">
      <c r="A24" s="122"/>
      <c r="B24" s="112">
        <f>COUNTIF(Backlog[Area], A24)</f>
        <v>0</v>
      </c>
      <c r="C24" s="111" t="str">
        <f>IF(B25&lt;&gt;0,B24/$B$25,"")</f>
        <v/>
      </c>
    </row>
    <row r="25" spans="1:3" ht="15" x14ac:dyDescent="0.25">
      <c r="A25" s="114" t="s">
        <v>29</v>
      </c>
      <c r="B25" s="114">
        <f>SUM(B9:B24)</f>
        <v>0</v>
      </c>
      <c r="C25" s="116">
        <f>SUM(C9:C24)</f>
        <v>0</v>
      </c>
    </row>
    <row r="27" spans="1:3" ht="15" x14ac:dyDescent="0.25">
      <c r="A27" s="115" t="s">
        <v>28</v>
      </c>
      <c r="B27" s="115" t="s">
        <v>37</v>
      </c>
      <c r="C27" s="115" t="s">
        <v>38</v>
      </c>
    </row>
    <row r="28" spans="1:3" ht="15" x14ac:dyDescent="0.25">
      <c r="A28" s="122" t="s">
        <v>30</v>
      </c>
      <c r="B28" s="112">
        <f>COUNTIF(Backlog[Status], A28)</f>
        <v>0</v>
      </c>
      <c r="C28" s="111" t="str">
        <f>IF(B33&lt;&gt;0,B28/$B$33,"")</f>
        <v/>
      </c>
    </row>
    <row r="29" spans="1:3" ht="15" x14ac:dyDescent="0.25">
      <c r="A29" s="122" t="s">
        <v>31</v>
      </c>
      <c r="B29" s="112">
        <f>COUNTIF(Backlog[Status], A29)</f>
        <v>0</v>
      </c>
      <c r="C29" s="111" t="str">
        <f>IF(B33&lt;&gt;0,B29/$B$33,"")</f>
        <v/>
      </c>
    </row>
    <row r="30" spans="1:3" ht="15" x14ac:dyDescent="0.25">
      <c r="A30" s="122" t="s">
        <v>32</v>
      </c>
      <c r="B30" s="112">
        <f>COUNTIF(Backlog[Status], A30)</f>
        <v>0</v>
      </c>
      <c r="C30" s="111" t="str">
        <f>IF(B33&lt;&gt;0,B30/$B$33,"")</f>
        <v/>
      </c>
    </row>
    <row r="31" spans="1:3" ht="15" x14ac:dyDescent="0.25">
      <c r="A31" s="122" t="s">
        <v>27</v>
      </c>
      <c r="B31" s="112">
        <f>COUNTIF(Backlog[Status], A31)</f>
        <v>0</v>
      </c>
      <c r="C31" s="111" t="str">
        <f>IF(B33&lt;&gt;0,B31/$B$33,"")</f>
        <v/>
      </c>
    </row>
    <row r="32" spans="1:3" ht="15" x14ac:dyDescent="0.25">
      <c r="A32" s="123" t="s">
        <v>33</v>
      </c>
      <c r="B32" s="112">
        <f>COUNTIF(Backlog[Status], A32)</f>
        <v>0</v>
      </c>
      <c r="C32" s="111" t="str">
        <f>IF(B33&lt;&gt;0,B32/$B$33,"")</f>
        <v/>
      </c>
    </row>
    <row r="33" spans="1:3" ht="15" x14ac:dyDescent="0.25">
      <c r="A33" s="117" t="s">
        <v>29</v>
      </c>
      <c r="B33" s="118">
        <f>SUM(B28:B32)</f>
        <v>0</v>
      </c>
      <c r="C33" s="116">
        <f>SUM(C28:C32)</f>
        <v>0</v>
      </c>
    </row>
  </sheetData>
  <phoneticPr fontId="27" type="noConversion"/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4:H51"/>
  <sheetViews>
    <sheetView workbookViewId="0">
      <selection activeCell="D8" sqref="D8"/>
    </sheetView>
  </sheetViews>
  <sheetFormatPr defaultRowHeight="12.75" x14ac:dyDescent="0.2"/>
  <cols>
    <col min="1" max="1" width="2.7109375" style="6" customWidth="1"/>
    <col min="2" max="2" width="18.42578125" style="6" bestFit="1" customWidth="1"/>
    <col min="3" max="3" width="14.140625" style="6" bestFit="1" customWidth="1"/>
    <col min="4" max="4" width="20.85546875" style="6" customWidth="1"/>
    <col min="5" max="6" width="15.140625" style="6" bestFit="1" customWidth="1"/>
    <col min="7" max="7" width="68" style="6" customWidth="1"/>
    <col min="8" max="8" width="2.85546875" style="6" bestFit="1" customWidth="1"/>
    <col min="9" max="16384" width="9.140625" style="6"/>
  </cols>
  <sheetData>
    <row r="4" spans="2:7" x14ac:dyDescent="0.2">
      <c r="B4" s="90" t="s">
        <v>23</v>
      </c>
    </row>
    <row r="5" spans="2:7" ht="13.5" thickBot="1" x14ac:dyDescent="0.25"/>
    <row r="6" spans="2:7" ht="14.25" thickTop="1" thickBot="1" x14ac:dyDescent="0.25">
      <c r="B6" s="90" t="s">
        <v>9</v>
      </c>
      <c r="C6" s="91" t="s">
        <v>26</v>
      </c>
      <c r="D6" s="92" t="s">
        <v>24</v>
      </c>
      <c r="E6" s="93" t="s">
        <v>39</v>
      </c>
      <c r="F6" s="94" t="s">
        <v>25</v>
      </c>
      <c r="G6" s="95" t="s">
        <v>40</v>
      </c>
    </row>
    <row r="7" spans="2:7" ht="13.5" thickTop="1" x14ac:dyDescent="0.2">
      <c r="C7" s="96"/>
      <c r="D7" s="97" t="s">
        <v>16</v>
      </c>
      <c r="E7" s="98"/>
      <c r="F7" s="99"/>
      <c r="G7" s="100"/>
    </row>
    <row r="8" spans="2:7" x14ac:dyDescent="0.2">
      <c r="C8" s="120" t="s">
        <v>42</v>
      </c>
      <c r="D8" s="102" t="s">
        <v>43</v>
      </c>
      <c r="E8" s="102"/>
      <c r="F8" s="103"/>
      <c r="G8" s="102"/>
    </row>
    <row r="9" spans="2:7" x14ac:dyDescent="0.2">
      <c r="C9" s="120" t="s">
        <v>44</v>
      </c>
      <c r="D9" s="102" t="s">
        <v>45</v>
      </c>
      <c r="E9" s="102"/>
      <c r="F9" s="103"/>
      <c r="G9" s="102"/>
    </row>
    <row r="10" spans="2:7" ht="11.25" customHeight="1" x14ac:dyDescent="0.2">
      <c r="C10" s="120" t="s">
        <v>46</v>
      </c>
      <c r="D10" s="102" t="s">
        <v>47</v>
      </c>
      <c r="E10" s="102"/>
      <c r="F10" s="103"/>
      <c r="G10" s="102"/>
    </row>
    <row r="11" spans="2:7" x14ac:dyDescent="0.2">
      <c r="C11" s="120" t="s">
        <v>48</v>
      </c>
      <c r="D11" s="102" t="s">
        <v>71</v>
      </c>
      <c r="E11" s="102"/>
      <c r="F11" s="103"/>
      <c r="G11" s="102"/>
    </row>
    <row r="12" spans="2:7" x14ac:dyDescent="0.2">
      <c r="C12" s="120" t="s">
        <v>49</v>
      </c>
      <c r="D12" s="102" t="s">
        <v>70</v>
      </c>
      <c r="E12" s="102"/>
      <c r="F12" s="103"/>
      <c r="G12" s="102"/>
    </row>
    <row r="13" spans="2:7" x14ac:dyDescent="0.2">
      <c r="C13" s="120" t="s">
        <v>50</v>
      </c>
      <c r="D13" s="102" t="s">
        <v>69</v>
      </c>
      <c r="E13" s="102"/>
      <c r="F13" s="103"/>
      <c r="G13" s="102"/>
    </row>
    <row r="14" spans="2:7" x14ac:dyDescent="0.2">
      <c r="C14" s="120" t="s">
        <v>51</v>
      </c>
      <c r="D14" s="102" t="s">
        <v>68</v>
      </c>
      <c r="E14" s="102"/>
      <c r="F14" s="103"/>
      <c r="G14" s="102"/>
    </row>
    <row r="15" spans="2:7" x14ac:dyDescent="0.2">
      <c r="C15" s="120" t="s">
        <v>52</v>
      </c>
      <c r="D15" s="102" t="s">
        <v>67</v>
      </c>
      <c r="E15" s="102"/>
      <c r="F15" s="103"/>
      <c r="G15" s="102"/>
    </row>
    <row r="16" spans="2:7" x14ac:dyDescent="0.2">
      <c r="C16" s="120" t="s">
        <v>53</v>
      </c>
      <c r="D16" s="102" t="s">
        <v>66</v>
      </c>
      <c r="E16" s="102"/>
      <c r="F16" s="103"/>
      <c r="G16" s="102"/>
    </row>
    <row r="17" spans="3:7" x14ac:dyDescent="0.2">
      <c r="C17" s="120" t="s">
        <v>54</v>
      </c>
      <c r="D17" s="102" t="s">
        <v>65</v>
      </c>
      <c r="E17" s="102"/>
      <c r="F17" s="103"/>
      <c r="G17" s="102"/>
    </row>
    <row r="18" spans="3:7" x14ac:dyDescent="0.2">
      <c r="C18" s="120" t="s">
        <v>55</v>
      </c>
      <c r="D18" s="102" t="s">
        <v>64</v>
      </c>
      <c r="E18" s="102"/>
      <c r="F18" s="103"/>
      <c r="G18" s="102"/>
    </row>
    <row r="19" spans="3:7" x14ac:dyDescent="0.2">
      <c r="C19" s="120" t="s">
        <v>56</v>
      </c>
      <c r="D19" s="102" t="s">
        <v>63</v>
      </c>
      <c r="E19" s="102"/>
      <c r="F19" s="103"/>
      <c r="G19" s="102"/>
    </row>
    <row r="20" spans="3:7" x14ac:dyDescent="0.2">
      <c r="C20" s="120" t="s">
        <v>57</v>
      </c>
      <c r="D20" s="102" t="s">
        <v>62</v>
      </c>
      <c r="E20" s="102"/>
      <c r="F20" s="103"/>
      <c r="G20" s="102"/>
    </row>
    <row r="21" spans="3:7" x14ac:dyDescent="0.2">
      <c r="C21" s="120" t="s">
        <v>58</v>
      </c>
      <c r="D21" s="102" t="s">
        <v>61</v>
      </c>
      <c r="E21" s="102"/>
      <c r="F21" s="103"/>
      <c r="G21" s="102"/>
    </row>
    <row r="22" spans="3:7" x14ac:dyDescent="0.2">
      <c r="C22" s="120" t="s">
        <v>59</v>
      </c>
      <c r="D22" s="102" t="s">
        <v>60</v>
      </c>
      <c r="E22" s="102"/>
      <c r="F22" s="103"/>
      <c r="G22" s="102"/>
    </row>
    <row r="23" spans="3:7" x14ac:dyDescent="0.2">
      <c r="C23" s="101"/>
      <c r="D23" s="102"/>
      <c r="E23" s="102"/>
      <c r="F23" s="103"/>
      <c r="G23" s="102"/>
    </row>
    <row r="24" spans="3:7" x14ac:dyDescent="0.2">
      <c r="C24" s="101"/>
      <c r="D24" s="102"/>
      <c r="E24" s="102"/>
      <c r="F24" s="103"/>
      <c r="G24" s="102"/>
    </row>
    <row r="25" spans="3:7" ht="13.5" thickBot="1" x14ac:dyDescent="0.25">
      <c r="C25" s="104"/>
      <c r="D25" s="105"/>
      <c r="E25" s="105"/>
      <c r="F25" s="106"/>
      <c r="G25" s="107"/>
    </row>
    <row r="26" spans="3:7" ht="13.5" thickTop="1" x14ac:dyDescent="0.2"/>
    <row r="41" spans="7:8" x14ac:dyDescent="0.2">
      <c r="H41" s="108"/>
    </row>
    <row r="43" spans="7:8" x14ac:dyDescent="0.2">
      <c r="G43" s="108"/>
      <c r="H43" s="108"/>
    </row>
    <row r="51" spans="4:4" x14ac:dyDescent="0.2">
      <c r="D51" s="1"/>
    </row>
  </sheetData>
  <phoneticPr fontId="1" type="noConversion"/>
  <pageMargins left="0.75" right="0.75" top="1" bottom="1" header="0.5" footer="0.5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6</vt:i4>
      </vt:variant>
    </vt:vector>
  </HeadingPairs>
  <TitlesOfParts>
    <vt:vector size="10" baseType="lpstr">
      <vt:lpstr>Sprint</vt:lpstr>
      <vt:lpstr>Capacity</vt:lpstr>
      <vt:lpstr>Project Specific Reports</vt:lpstr>
      <vt:lpstr>Team Roster</vt:lpstr>
      <vt:lpstr>Deliverable</vt:lpstr>
      <vt:lpstr>Capacity!Print_Area</vt:lpstr>
      <vt:lpstr>SprintStart</vt:lpstr>
      <vt:lpstr>Start_Date</vt:lpstr>
      <vt:lpstr>Status</vt:lpstr>
      <vt:lpstr>Worktype</vt:lpstr>
    </vt:vector>
  </TitlesOfParts>
  <Company>Microsoft Corporation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Product and Sprint Backlog</dc:title>
  <dc:subject>Agile Project Tracking</dc:subject>
  <dc:creator>Mitch Lacey</dc:creator>
  <cp:lastModifiedBy>vzzx朱祖鑫</cp:lastModifiedBy>
  <cp:revision>1</cp:revision>
  <cp:lastPrinted>2005-08-15T09:18:22Z</cp:lastPrinted>
  <dcterms:created xsi:type="dcterms:W3CDTF">2005-01-26T21:50:47Z</dcterms:created>
  <dcterms:modified xsi:type="dcterms:W3CDTF">2016-10-09T07:47:20Z</dcterms:modified>
  <cp:category>Project Management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 Category">
    <vt:lpwstr>01 Planning Doc</vt:lpwstr>
  </property>
  <property fmtid="{D5CDD505-2E9C-101B-9397-08002B2CF9AE}" pid="3" name="At a Glance">
    <vt:lpwstr>0</vt:lpwstr>
  </property>
  <property fmtid="{D5CDD505-2E9C-101B-9397-08002B2CF9AE}" pid="4" name="Project Category">
    <vt:lpwstr>Entertainment (depth)</vt:lpwstr>
  </property>
</Properties>
</file>